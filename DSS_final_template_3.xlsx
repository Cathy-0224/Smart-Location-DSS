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thy\OneDrive\桌面\大四\DSS\"/>
    </mc:Choice>
  </mc:AlternateContent>
  <xr:revisionPtr revIDLastSave="0" documentId="13_ncr:1_{94DDF246-A6CD-4309-94F6-6B7288509051}" xr6:coauthVersionLast="47" xr6:coauthVersionMax="47" xr10:uidLastSave="{00000000-0000-0000-0000-000000000000}"/>
  <bookViews>
    <workbookView xWindow="-120" yWindow="-120" windowWidth="29040" windowHeight="15720" activeTab="5" xr2:uid="{05D8D9CB-FC46-46CF-952D-15B9AF948994}"/>
  </bookViews>
  <sheets>
    <sheet name="Data" sheetId="1" r:id="rId1"/>
    <sheet name="人口統計表" sheetId="5" r:id="rId2"/>
    <sheet name="商圈成熟度評分" sheetId="6" r:id="rId3"/>
    <sheet name="AHP" sheetId="2" r:id="rId4"/>
    <sheet name="工作表1" sheetId="4" r:id="rId5"/>
    <sheet name="TOPSIS" sheetId="3" r:id="rId6"/>
    <sheet name="TEST" sheetId="8" r:id="rId7"/>
    <sheet name="敏感度" sheetId="7" r:id="rId8"/>
    <sheet name="敏感度8評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9" l="1"/>
  <c r="K6" i="9" s="1"/>
  <c r="G6" i="9"/>
  <c r="J6" i="9" s="1"/>
  <c r="F6" i="9"/>
  <c r="I6" i="9" s="1"/>
  <c r="H5" i="9"/>
  <c r="K5" i="9" s="1"/>
  <c r="G5" i="9"/>
  <c r="J5" i="9" s="1"/>
  <c r="F5" i="9"/>
  <c r="I5" i="9" s="1"/>
  <c r="H4" i="9"/>
  <c r="K4" i="9" s="1"/>
  <c r="G4" i="9"/>
  <c r="J4" i="9" s="1"/>
  <c r="F4" i="9"/>
  <c r="I4" i="9" s="1"/>
  <c r="H3" i="9"/>
  <c r="K3" i="9" s="1"/>
  <c r="G3" i="9"/>
  <c r="J3" i="9" s="1"/>
  <c r="F3" i="9"/>
  <c r="I3" i="9" s="1"/>
  <c r="H2" i="9"/>
  <c r="K2" i="9" s="1"/>
  <c r="G2" i="9"/>
  <c r="J2" i="9" s="1"/>
  <c r="F2" i="9"/>
  <c r="I2" i="9" s="1"/>
  <c r="F11" i="7"/>
  <c r="F12" i="7"/>
  <c r="F10" i="7"/>
  <c r="F7" i="7"/>
  <c r="F8" i="7"/>
  <c r="F6" i="7"/>
  <c r="F2" i="7"/>
  <c r="F3" i="7"/>
  <c r="F4" i="7"/>
  <c r="H6" i="8"/>
  <c r="K6" i="8" s="1"/>
  <c r="G6" i="8"/>
  <c r="J6" i="8" s="1"/>
  <c r="F6" i="8"/>
  <c r="I6" i="8" s="1"/>
  <c r="H5" i="8"/>
  <c r="K5" i="8" s="1"/>
  <c r="G5" i="8"/>
  <c r="J5" i="8" s="1"/>
  <c r="F5" i="8"/>
  <c r="I5" i="8" s="1"/>
  <c r="H4" i="8"/>
  <c r="K4" i="8" s="1"/>
  <c r="G4" i="8"/>
  <c r="J4" i="8" s="1"/>
  <c r="F4" i="8"/>
  <c r="I4" i="8" s="1"/>
  <c r="H3" i="8"/>
  <c r="K3" i="8" s="1"/>
  <c r="G3" i="8"/>
  <c r="J3" i="8" s="1"/>
  <c r="F3" i="8"/>
  <c r="I3" i="8" s="1"/>
  <c r="H2" i="8"/>
  <c r="K2" i="8" s="1"/>
  <c r="G2" i="8"/>
  <c r="J2" i="8" s="1"/>
  <c r="F2" i="8"/>
  <c r="I2" i="8" s="1"/>
  <c r="H6" i="3"/>
  <c r="K6" i="3" s="1"/>
  <c r="H5" i="3"/>
  <c r="K5" i="3" s="1"/>
  <c r="J6" i="3"/>
  <c r="J3" i="3"/>
  <c r="I6" i="3"/>
  <c r="D12" i="3" s="1"/>
  <c r="H4" i="3"/>
  <c r="K4" i="3" s="1"/>
  <c r="G6" i="3"/>
  <c r="G5" i="3"/>
  <c r="J5" i="3" s="1"/>
  <c r="G4" i="3"/>
  <c r="J4" i="3" s="1"/>
  <c r="G2" i="3"/>
  <c r="J2" i="3" s="1"/>
  <c r="F6" i="3"/>
  <c r="F2" i="3"/>
  <c r="I2" i="3" s="1"/>
  <c r="H3" i="3"/>
  <c r="K3" i="3" s="1"/>
  <c r="H2" i="3"/>
  <c r="K2" i="3" s="1"/>
  <c r="G3" i="3"/>
  <c r="F5" i="3"/>
  <c r="I5" i="3" s="1"/>
  <c r="F4" i="3"/>
  <c r="I4" i="3" s="1"/>
  <c r="F3" i="3"/>
  <c r="I3" i="3" s="1"/>
  <c r="C9" i="9" l="1"/>
  <c r="C8" i="9"/>
  <c r="D8" i="9"/>
  <c r="D12" i="9"/>
  <c r="D10" i="9"/>
  <c r="C10" i="9"/>
  <c r="C11" i="9"/>
  <c r="D11" i="9"/>
  <c r="D9" i="9"/>
  <c r="C16" i="9" s="1" a="1"/>
  <c r="C16" i="9" s="1"/>
  <c r="C12" i="9"/>
  <c r="B16" i="9" s="1" a="1"/>
  <c r="B16" i="9" s="1"/>
  <c r="D9" i="8"/>
  <c r="C9" i="8"/>
  <c r="C10" i="8"/>
  <c r="D10" i="8"/>
  <c r="C8" i="8"/>
  <c r="D8" i="8"/>
  <c r="C17" i="8" s="1" a="1"/>
  <c r="C17" i="8" s="1"/>
  <c r="C11" i="8"/>
  <c r="D11" i="8"/>
  <c r="D12" i="8"/>
  <c r="C12" i="8"/>
  <c r="D11" i="3"/>
  <c r="C11" i="3"/>
  <c r="C10" i="3"/>
  <c r="D10" i="3"/>
  <c r="C12" i="3"/>
  <c r="C9" i="3"/>
  <c r="D9" i="3"/>
  <c r="C8" i="3"/>
  <c r="D8" i="3"/>
  <c r="B15" i="3" l="1" a="1"/>
  <c r="B15" i="3" s="1"/>
  <c r="C15" i="3" a="1"/>
  <c r="C15" i="3" s="1"/>
  <c r="D15" i="3" s="1"/>
  <c r="C16" i="3" a="1"/>
  <c r="C16" i="3" s="1"/>
  <c r="B17" i="8" a="1"/>
  <c r="B17" i="8" s="1"/>
  <c r="D16" i="9"/>
  <c r="B15" i="9" a="1"/>
  <c r="B15" i="9" s="1"/>
  <c r="B17" i="9" a="1"/>
  <c r="B17" i="9" s="1"/>
  <c r="C17" i="9" a="1"/>
  <c r="C17" i="9" s="1"/>
  <c r="D17" i="9" s="1"/>
  <c r="C15" i="9" a="1"/>
  <c r="C15" i="9" s="1"/>
  <c r="D15" i="9" s="1"/>
  <c r="E15" i="9" s="1"/>
  <c r="B15" i="8" a="1"/>
  <c r="B15" i="8" s="1"/>
  <c r="B16" i="8" a="1"/>
  <c r="B16" i="8" s="1"/>
  <c r="C15" i="8" a="1"/>
  <c r="C15" i="8" s="1"/>
  <c r="C16" i="8" a="1"/>
  <c r="C16" i="8" s="1"/>
  <c r="D17" i="8"/>
  <c r="B16" i="3" a="1"/>
  <c r="B16" i="3" s="1"/>
  <c r="D16" i="3" s="1"/>
  <c r="C17" i="3" a="1"/>
  <c r="C17" i="3" s="1"/>
  <c r="B17" i="3" a="1"/>
  <c r="B17" i="3" s="1"/>
  <c r="D17" i="3" l="1"/>
  <c r="E17" i="3" s="1"/>
  <c r="E17" i="9"/>
  <c r="E16" i="9"/>
  <c r="D16" i="8"/>
  <c r="D15" i="8"/>
  <c r="E16" i="8"/>
  <c r="E15" i="8"/>
  <c r="E17" i="8"/>
  <c r="E16" i="3" l="1"/>
  <c r="E1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<sst xmlns="http://schemas.openxmlformats.org/spreadsheetml/2006/main" count="234" uniqueCount="121">
  <si>
    <t>地區</t>
  </si>
  <si>
    <t>人口密度</t>
  </si>
  <si>
    <t>上班族比例</t>
  </si>
  <si>
    <t>捷運站數</t>
  </si>
  <si>
    <t>公車站數</t>
  </si>
  <si>
    <t>咖啡廳數量</t>
  </si>
  <si>
    <t>商圈成熟度</t>
  </si>
  <si>
    <t>備註</t>
  </si>
  <si>
    <t>信義區</t>
  </si>
  <si>
    <t/>
  </si>
  <si>
    <t>大安區</t>
  </si>
  <si>
    <t>中山區</t>
  </si>
  <si>
    <t>人口密度 vs 租金</t>
  </si>
  <si>
    <t>人口密度 vs 交通便利度</t>
  </si>
  <si>
    <t>人口密度 vs 競爭者密度</t>
  </si>
  <si>
    <t>人口密度 vs 商圈成熟度</t>
  </si>
  <si>
    <t>租金 vs 交通便利度</t>
  </si>
  <si>
    <t>租金 vs 競爭者密度</t>
  </si>
  <si>
    <t>租金 vs 商圈成熟度</t>
  </si>
  <si>
    <t>交通便利度 vs 競爭者密度</t>
  </si>
  <si>
    <t>交通便利度 vs 商圈成熟度</t>
  </si>
  <si>
    <t>競爭者密度 vs 商圈成熟度</t>
  </si>
  <si>
    <t>指標</t>
  </si>
  <si>
    <t>權重</t>
  </si>
  <si>
    <t>信義</t>
  </si>
  <si>
    <t>大安</t>
  </si>
  <si>
    <t>中山</t>
  </si>
  <si>
    <t>Norm_信義</t>
  </si>
  <si>
    <t>Norm_大安</t>
  </si>
  <si>
    <t>Norm_中山</t>
  </si>
  <si>
    <t>Weighted_信義</t>
  </si>
  <si>
    <t>Weighted_大安</t>
  </si>
  <si>
    <t>Weighted_中山</t>
  </si>
  <si>
    <t>租金</t>
  </si>
  <si>
    <t>交通便利度</t>
  </si>
  <si>
    <t>競爭者密度</t>
  </si>
  <si>
    <t>理想解</t>
  </si>
  <si>
    <t>反理想解</t>
  </si>
  <si>
    <t>距離_理想解</t>
  </si>
  <si>
    <t>距離_反理想解</t>
  </si>
  <si>
    <t>TOPSIS分數</t>
  </si>
  <si>
    <t>排名</t>
  </si>
  <si>
    <r>
      <rPr>
        <b/>
        <sz val="10"/>
        <rFont val="微軟正黑體"/>
        <family val="2"/>
        <charset val="136"/>
      </rPr>
      <t>指標比較題，填答</t>
    </r>
    <r>
      <rPr>
        <b/>
        <sz val="10"/>
        <rFont val="Arial"/>
        <family val="2"/>
      </rPr>
      <t>(1~9)</t>
    </r>
    <phoneticPr fontId="19" type="noConversion"/>
  </si>
  <si>
    <t>幾何平均 GM</t>
  </si>
  <si>
    <t>人口</t>
  </si>
  <si>
    <t>交通</t>
  </si>
  <si>
    <t>競爭</t>
  </si>
  <si>
    <t>成熟</t>
  </si>
  <si>
    <r>
      <t>CR = CI / RI ≒</t>
    </r>
    <r>
      <rPr>
        <sz val="12"/>
        <rFont val="新細明體"/>
        <family val="1"/>
        <charset val="136"/>
        <scheme val="minor"/>
      </rPr>
      <t>0.0417384</t>
    </r>
    <phoneticPr fontId="19" type="noConversion"/>
  </si>
  <si>
    <r>
      <t>CI = (</t>
    </r>
    <r>
      <rPr>
        <sz val="12"/>
        <rFont val="Calibri"/>
        <family val="1"/>
        <charset val="161"/>
      </rPr>
      <t>λ</t>
    </r>
    <r>
      <rPr>
        <sz val="12"/>
        <rFont val="新細明體"/>
        <family val="1"/>
        <charset val="136"/>
        <scheme val="minor"/>
      </rPr>
      <t>max-5)/(5-1) ≒0.0467470</t>
    </r>
    <phoneticPr fontId="19" type="noConversion"/>
  </si>
  <si>
    <t>人口密度 (人／km²)       四捨五入到小數點第2位</t>
  </si>
  <si>
    <t>臺北市   114 年 10 月  各行政區戶籍人口數、戶數統計表</t>
  </si>
  <si>
    <t>區別</t>
  </si>
  <si>
    <t>里數</t>
  </si>
  <si>
    <t>鄰數</t>
  </si>
  <si>
    <t>戶數</t>
  </si>
  <si>
    <t>人口數</t>
  </si>
  <si>
    <t>現有門牌</t>
  </si>
  <si>
    <t>戶籍登記</t>
  </si>
  <si>
    <t>男</t>
  </si>
  <si>
    <t>女</t>
  </si>
  <si>
    <t>合計</t>
  </si>
  <si>
    <t xml:space="preserve"> 總計</t>
  </si>
  <si>
    <t xml:space="preserve"> 信義區</t>
  </si>
  <si>
    <t xml:space="preserve"> 大安區</t>
  </si>
  <si>
    <t xml:space="preserve"> 中山區</t>
  </si>
  <si>
    <t>資料來源</t>
    <phoneticPr fontId="19" type="noConversion"/>
  </si>
  <si>
    <t>內政部不動產交易時價查詢服務網，租賃查詢</t>
    <phoneticPr fontId="19" type="noConversion"/>
  </si>
  <si>
    <t>https://data.taipei/dataset/detail?id=48aa5bca-2a4f-4fb7-a658-43cba51d5d56</t>
    <phoneticPr fontId="19" type="noConversion"/>
  </si>
  <si>
    <t>https://data.taipei/dataset/detail?id=1601ef3a-c253-4988-b047-943d9e786143</t>
    <phoneticPr fontId="19" type="noConversion"/>
  </si>
  <si>
    <t>公車站資料</t>
    <phoneticPr fontId="19" type="noConversion"/>
  </si>
  <si>
    <t>咖啡廳資料</t>
    <phoneticPr fontId="19" type="noConversion"/>
  </si>
  <si>
    <t>http://cafenomad.tw/taipei/map</t>
    <phoneticPr fontId="19" type="noConversion"/>
  </si>
  <si>
    <t>https://lvr.land.moi.gov.tw/</t>
    <phoneticPr fontId="19" type="noConversion"/>
  </si>
  <si>
    <t>類型: 店面(店鋪)
訂約日期113/1~114/11</t>
    <phoneticPr fontId="19" type="noConversion"/>
  </si>
  <si>
    <r>
      <rPr>
        <b/>
        <sz val="10"/>
        <rFont val="微軟正黑體"/>
        <family val="2"/>
        <charset val="136"/>
      </rPr>
      <t>租金平均</t>
    </r>
    <r>
      <rPr>
        <b/>
        <sz val="10"/>
        <rFont val="Arial"/>
        <family val="2"/>
      </rPr>
      <t>(</t>
    </r>
    <r>
      <rPr>
        <b/>
        <sz val="10"/>
        <rFont val="新細明體"/>
        <family val="2"/>
        <charset val="136"/>
      </rPr>
      <t>元</t>
    </r>
    <r>
      <rPr>
        <b/>
        <sz val="10"/>
        <rFont val="Arial"/>
        <family val="2"/>
      </rPr>
      <t>/</t>
    </r>
    <r>
      <rPr>
        <b/>
        <sz val="10"/>
        <rFont val="新細明體"/>
        <family val="2"/>
        <charset val="136"/>
      </rPr>
      <t>坪</t>
    </r>
    <r>
      <rPr>
        <b/>
        <sz val="10"/>
        <rFont val="Arial"/>
        <family val="2"/>
      </rPr>
      <t>)</t>
    </r>
    <phoneticPr fontId="19" type="noConversion"/>
  </si>
  <si>
    <r>
      <rPr>
        <b/>
        <sz val="10"/>
        <rFont val="Microsoft JhengHei"/>
        <family val="2"/>
      </rPr>
      <t>用戶</t>
    </r>
    <r>
      <rPr>
        <b/>
        <sz val="10"/>
        <rFont val="Arial"/>
        <family val="2"/>
      </rPr>
      <t>1</t>
    </r>
    <phoneticPr fontId="19" type="noConversion"/>
  </si>
  <si>
    <r>
      <rPr>
        <b/>
        <sz val="10"/>
        <rFont val="Microsoft JhengHei"/>
        <family val="2"/>
      </rPr>
      <t>用戶</t>
    </r>
    <r>
      <rPr>
        <b/>
        <sz val="10"/>
        <rFont val="Arial"/>
        <family val="2"/>
      </rPr>
      <t>2</t>
    </r>
    <phoneticPr fontId="19" type="noConversion"/>
  </si>
  <si>
    <r>
      <rPr>
        <b/>
        <sz val="10"/>
        <rFont val="Microsoft JhengHei"/>
        <family val="2"/>
      </rPr>
      <t>用戶</t>
    </r>
    <r>
      <rPr>
        <b/>
        <sz val="10"/>
        <rFont val="Arial"/>
        <family val="2"/>
      </rPr>
      <t>3</t>
    </r>
    <phoneticPr fontId="19" type="noConversion"/>
  </si>
  <si>
    <r>
      <rPr>
        <b/>
        <sz val="10"/>
        <rFont val="Microsoft JhengHei"/>
        <family val="2"/>
      </rPr>
      <t>用戶</t>
    </r>
    <r>
      <rPr>
        <b/>
        <sz val="10"/>
        <rFont val="Arial"/>
        <family val="2"/>
      </rPr>
      <t>4</t>
    </r>
    <phoneticPr fontId="19" type="noConversion"/>
  </si>
  <si>
    <r>
      <rPr>
        <b/>
        <sz val="10"/>
        <rFont val="Microsoft JhengHei"/>
        <family val="2"/>
      </rPr>
      <t>用戶</t>
    </r>
    <r>
      <rPr>
        <b/>
        <sz val="10"/>
        <rFont val="Arial"/>
        <family val="2"/>
      </rPr>
      <t>5</t>
    </r>
    <phoneticPr fontId="19" type="noConversion"/>
  </si>
  <si>
    <t>信義區:</t>
  </si>
  <si>
    <t>成熟度:9</t>
  </si>
  <si>
    <t>評語:</t>
  </si>
  <si>
    <t>信義區被視為台北最具「國際級標誌性」的商業地帶，零售、百貨、辦公、觀光高度集中。商圈具備完整交通與人潮基礎，品牌進駐意願極高。消費力全台頂尖，國際品牌旗艦店與大型複合式商場密集，使商圈具備高度成熟度與強烈外來客吸引力。</t>
  </si>
  <si>
    <t>--&gt;「高度成熟、競爭激烈，以大型商場與國際品牌為主，適合高端與體驗型業種進駐，市場成長有限但具極強曝光價值。」</t>
  </si>
  <si>
    <t>1.官方觀光／旅遊網站把信義商圈描述為「台北最具指標性的商圈」，涵蓋購物、娛樂、休閒、美食等多元功能，是高端消費與都會時尚代表。</t>
  </si>
  <si>
    <t>2.網站與旅遊指南也常稱其為「台北曼哈頓」，白天是金融商業核心，夜晚則變為購物與娛樂重鎮。</t>
  </si>
  <si>
    <t>3.有大型百貨公司、摩天大樓、辦公大樓、飯店與國際級品牌進駐，被視為都市商業、金融、休閒娛樂合一的成熟地段。</t>
  </si>
  <si>
    <t>大安區:</t>
  </si>
  <si>
    <t>成熟度:8</t>
  </si>
  <si>
    <t>大安區以高所得住宅區為主，人口密度高、學區完善，形成穩定生活型商圈。雖大型百貨較少，但精品餐飲、生活選物、連鎖品牌遍布。商圈成熟且穩定，但較偏「生活需求導向」，不像信義區具強觀光與大型人潮。</t>
  </si>
  <si>
    <t>--&gt;「成熟度高、消費力穩定，屬住宅生活型商圈，適合精品餐飲、醫美、補習班、生活服務業；較不利大型零售擴張。」</t>
  </si>
  <si>
    <t>1.官方英語版區域介紹指出，大安區擁有完善道路與捷運交通網絡，其主要道路 + 交通便利性，使其擁有發達的商業功能。</t>
  </si>
  <si>
    <t>2.大安區也包含以餐飲、生活服務、小型商店為主的商圈，例如著名的永康街商圈 — 適合餐飲、特色店、小型消費與日常生活機能。</t>
  </si>
  <si>
    <t>3.因人口、住宅密度與便利生活機能，使大安區商圈偏向「穩定住宅／生活消費型」，適合日常消費、餐飲、服務業與中小型商店。這一特性在多個旅遊／商圈推薦中有所提及。</t>
  </si>
  <si>
    <t>中山區:</t>
  </si>
  <si>
    <t>成熟度:7</t>
  </si>
  <si>
    <t>中山區是台北的「多元與混合式商業核心」。百貨、飯店、精品、文創、設計商店聚集，外國客與上班族流動性高。四平商圈、中山站商圈、新生北路汽車用品街等形成多核心商圈，具高彈性與多元族群消費特徵。</t>
  </si>
  <si>
    <t>--&gt;「商圈成熟度高且多元，適合精品時尚、文創選物、餐飲與特色店家；但因商圈分散且特色化，品牌需清楚定位。」</t>
  </si>
  <si>
    <t>1.中山商圈被形容為「文創、小店、咖啡、設計、藝文／生活美學」聚集地，非常受年輕族群與喜歡慢慢逛街的人歡迎。</t>
  </si>
  <si>
    <t>2.這裡融合了傳統與現代、住宅與商業，商圈型態多樣，有百貨、小店、選物店、文創、咖啡廳、餐廳、藝文展／市集等等，屬於混合型且兼具彈性的商圈。</t>
  </si>
  <si>
    <t>3.旅遊／商圈指南將中山區列為台北「好逛、多樣、小資／文青喜好」的熱門區域之一，適合特色店、文創、設計、小眾消費／生活品味消費。</t>
  </si>
  <si>
    <t>https://www.taiwan.net.tw/m1.aspx?sNo=0001090&amp;id=9968</t>
    <phoneticPr fontId="19" type="noConversion"/>
  </si>
  <si>
    <t>https://www.travelking.com.tw/tourguide/scenery103039.html?utm_source=chatgpt.com</t>
    <phoneticPr fontId="19" type="noConversion"/>
  </si>
  <si>
    <t>https://english.gov.taipei/cp.aspx?n=F9797470B11F14BD&amp;utm_source=chatgpt.com</t>
    <phoneticPr fontId="19" type="noConversion"/>
  </si>
  <si>
    <t>https://www.tcooc.gov.taipei/cp.aspx?n=D6636C188A8ADC8E&amp;s=928F0FB82A0806B0&amp;utm_source=chatgpt.com</t>
    <phoneticPr fontId="19" type="noConversion"/>
  </si>
  <si>
    <t>https://imtravelholic.com/taiwan_travel/taiwan_travel_tips/2474/%E5%8F%B0%E5%8C%97%E8%87%AA%E7%94%B1%E8%A1%8C7%E5%A4%A7%E5%95%86%E5%9C%88/?utm_source=chatgpt.com</t>
    <phoneticPr fontId="19" type="noConversion"/>
  </si>
  <si>
    <t>https://www.travel.taipei/zh-tw/attraction/details/1981</t>
    <phoneticPr fontId="19" type="noConversion"/>
  </si>
  <si>
    <t>交通便利度</t>
    <phoneticPr fontId="19" type="noConversion"/>
  </si>
  <si>
    <t>競爭者密度</t>
    <phoneticPr fontId="19" type="noConversion"/>
  </si>
  <si>
    <t>坪數假設</t>
  </si>
  <si>
    <t>租金_換算(元/月)</t>
  </si>
  <si>
    <t>8坪</t>
  </si>
  <si>
    <t>10坪</t>
  </si>
  <si>
    <t>12坪</t>
  </si>
  <si>
    <r>
      <rPr>
        <b/>
        <sz val="10"/>
        <rFont val="新細明體"/>
        <family val="2"/>
        <charset val="136"/>
      </rPr>
      <t>租金</t>
    </r>
    <r>
      <rPr>
        <b/>
        <sz val="10"/>
        <rFont val="Arial"/>
        <family val="2"/>
      </rPr>
      <t>(</t>
    </r>
    <r>
      <rPr>
        <b/>
        <sz val="10"/>
        <rFont val="新細明體"/>
        <family val="2"/>
        <charset val="136"/>
      </rPr>
      <t>元</t>
    </r>
    <r>
      <rPr>
        <b/>
        <sz val="10"/>
        <rFont val="Arial"/>
        <family val="2"/>
      </rPr>
      <t>/</t>
    </r>
    <r>
      <rPr>
        <b/>
        <sz val="10"/>
        <rFont val="新細明體"/>
        <family val="2"/>
        <charset val="136"/>
      </rPr>
      <t>坪</t>
    </r>
    <r>
      <rPr>
        <b/>
        <sz val="10"/>
        <rFont val="Arial"/>
        <family val="2"/>
      </rPr>
      <t>)</t>
    </r>
    <phoneticPr fontId="19" type="noConversion"/>
  </si>
  <si>
    <t>我們對租金坪數進行敏感度測試（8 / 10 / 12 坪），三種情況下排名均為信義 &gt; 大安 &gt; 中山，顯示模型結果對店面坪數估計不敏感，結論穩定可信。</t>
    <phoneticPr fontId="19" type="noConversion"/>
  </si>
  <si>
    <t>租金(元/月)</t>
    <phoneticPr fontId="19" type="noConversion"/>
  </si>
  <si>
    <t>λmax= 5.186988</t>
    <phoneticPr fontId="19" type="noConversion"/>
  </si>
  <si>
    <t>RI(5) = 1.12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</si>
</sst>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 &quot;#,##0.00&quot; &quot;;&quot;-&quot;#,##0.00&quot; &quot;;&quot;-&quot;00&quot; &quot;;&quot; &quot;@&quot; &quot;"/>
    <numFmt numFmtId="177" formatCode="&quot; &quot;0&quot; &quot;;&quot;-&quot;0&quot; &quot;;&quot;-&quot;00&quot; &quot;;&quot; &quot;@&quot; &quot;"/>
    <numFmt numFmtId="178" formatCode="0.00000"/>
  </numFmts>
  <fonts count="46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b/>
      <sz val="10"/>
      <name val="Arial"/>
      <family val="2"/>
    </font>
    <font>
      <sz val="9"/>
      <name val="新細明體"/>
      <family val="2"/>
      <charset val="136"/>
      <scheme val="minor"/>
    </font>
    <font>
      <b/>
      <sz val="10"/>
      <name val="微軟正黑體"/>
      <family val="2"/>
      <charset val="136"/>
    </font>
    <font>
      <b/>
      <sz val="10"/>
      <name val="Arial"/>
      <family val="2"/>
      <charset val="136"/>
    </font>
    <font>
      <sz val="11"/>
      <color theme="1"/>
      <name val="Segoe UI"/>
      <family val="2"/>
    </font>
    <font>
      <b/>
      <sz val="12"/>
      <color theme="1"/>
      <name val="新細明體"/>
      <family val="1"/>
      <charset val="136"/>
      <scheme val="minor"/>
    </font>
    <font>
      <sz val="14.5"/>
      <name val="Times New Roman"/>
      <family val="1"/>
    </font>
    <font>
      <sz val="12"/>
      <name val="新細明體"/>
      <family val="1"/>
      <charset val="136"/>
      <scheme val="minor"/>
    </font>
    <font>
      <sz val="12"/>
      <name val="Calibri"/>
      <family val="1"/>
      <charset val="161"/>
    </font>
    <font>
      <sz val="12"/>
      <color theme="1"/>
      <name val="新細明體"/>
      <family val="2"/>
      <charset val="161"/>
    </font>
    <font>
      <sz val="12"/>
      <color rgb="FF000000"/>
      <name val="新細明體"/>
      <family val="1"/>
      <charset val="136"/>
    </font>
    <font>
      <b/>
      <sz val="10"/>
      <color rgb="FF000000"/>
      <name val="新細明體"/>
      <family val="1"/>
      <charset val="136"/>
    </font>
    <font>
      <sz val="10"/>
      <color rgb="FFFFFFFF"/>
      <name val="新細明體"/>
      <family val="1"/>
      <charset val="136"/>
    </font>
    <font>
      <sz val="10"/>
      <color rgb="FFCC0000"/>
      <name val="新細明體"/>
      <family val="1"/>
      <charset val="136"/>
    </font>
    <font>
      <b/>
      <sz val="10"/>
      <color rgb="FFFFFFFF"/>
      <name val="新細明體"/>
      <family val="1"/>
      <charset val="136"/>
    </font>
    <font>
      <i/>
      <sz val="10"/>
      <color rgb="FF808080"/>
      <name val="新細明體"/>
      <family val="1"/>
      <charset val="136"/>
    </font>
    <font>
      <sz val="10"/>
      <color rgb="FF006600"/>
      <name val="新細明體"/>
      <family val="1"/>
      <charset val="136"/>
    </font>
    <font>
      <b/>
      <sz val="24"/>
      <color rgb="FF000000"/>
      <name val="新細明體"/>
      <family val="1"/>
      <charset val="136"/>
    </font>
    <font>
      <sz val="18"/>
      <color rgb="FF000000"/>
      <name val="新細明體"/>
      <family val="1"/>
      <charset val="136"/>
    </font>
    <font>
      <u/>
      <sz val="10"/>
      <color rgb="FF0000EE"/>
      <name val="新細明體"/>
      <family val="1"/>
      <charset val="136"/>
    </font>
    <font>
      <sz val="10"/>
      <color rgb="FF996600"/>
      <name val="新細明體"/>
      <family val="1"/>
      <charset val="136"/>
    </font>
    <font>
      <sz val="10"/>
      <color rgb="FF333333"/>
      <name val="新細明體"/>
      <family val="1"/>
      <charset val="136"/>
    </font>
    <font>
      <b/>
      <i/>
      <u/>
      <sz val="10"/>
      <color rgb="FF000000"/>
      <name val="新細明體"/>
      <family val="1"/>
      <charset val="136"/>
    </font>
    <font>
      <sz val="12"/>
      <color rgb="FF000000"/>
      <name val="細明體"/>
      <family val="3"/>
      <charset val="136"/>
    </font>
    <font>
      <u/>
      <sz val="12"/>
      <color theme="10"/>
      <name val="新細明體"/>
      <family val="2"/>
      <charset val="136"/>
      <scheme val="minor"/>
    </font>
    <font>
      <b/>
      <sz val="10"/>
      <name val="新細明體"/>
      <family val="2"/>
      <charset val="136"/>
    </font>
    <font>
      <b/>
      <sz val="10"/>
      <name val="Microsoft JhengHei"/>
      <family val="2"/>
    </font>
    <font>
      <sz val="12"/>
      <color theme="1"/>
      <name val="Calibri"/>
      <family val="2"/>
      <charset val="161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FF"/>
        <bgColor rgb="FFCCFFFF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8" fillId="0" borderId="0">
      <alignment vertical="center"/>
    </xf>
    <xf numFmtId="176" fontId="28" fillId="0" borderId="0" applyFont="0" applyBorder="0" applyProtection="0">
      <alignment vertical="center"/>
    </xf>
    <xf numFmtId="0" fontId="29" fillId="0" borderId="0" applyNumberFormat="0" applyBorder="0" applyProtection="0">
      <alignment vertical="center"/>
    </xf>
    <xf numFmtId="0" fontId="30" fillId="33" borderId="0" applyNumberFormat="0" applyBorder="0" applyProtection="0">
      <alignment vertical="center"/>
    </xf>
    <xf numFmtId="0" fontId="30" fillId="34" borderId="0" applyNumberFormat="0" applyBorder="0" applyProtection="0">
      <alignment vertical="center"/>
    </xf>
    <xf numFmtId="0" fontId="28" fillId="35" borderId="0" applyNumberFormat="0" applyFont="0" applyBorder="0" applyProtection="0">
      <alignment vertical="center"/>
    </xf>
    <xf numFmtId="0" fontId="31" fillId="36" borderId="0" applyNumberFormat="0" applyBorder="0" applyProtection="0">
      <alignment vertical="center"/>
    </xf>
    <xf numFmtId="0" fontId="32" fillId="37" borderId="0" applyNumberFormat="0" applyBorder="0" applyProtection="0">
      <alignment vertical="center"/>
    </xf>
    <xf numFmtId="0" fontId="28" fillId="38" borderId="0" applyNumberFormat="0" applyFont="0" applyBorder="0" applyProtection="0">
      <alignment vertical="center"/>
    </xf>
    <xf numFmtId="0" fontId="33" fillId="0" borderId="0" applyNumberFormat="0" applyBorder="0" applyProtection="0">
      <alignment vertical="center"/>
    </xf>
    <xf numFmtId="0" fontId="34" fillId="39" borderId="0" applyNumberFormat="0" applyBorder="0" applyProtection="0">
      <alignment vertical="center"/>
    </xf>
    <xf numFmtId="0" fontId="35" fillId="0" borderId="0" applyNumberFormat="0" applyBorder="0" applyProtection="0">
      <alignment vertical="center"/>
    </xf>
    <xf numFmtId="0" fontId="36" fillId="0" borderId="0" applyNumberFormat="0" applyBorder="0" applyProtection="0">
      <alignment vertical="center"/>
    </xf>
    <xf numFmtId="0" fontId="28" fillId="0" borderId="0" applyNumberFormat="0" applyFont="0" applyBorder="0" applyProtection="0">
      <alignment vertical="center"/>
    </xf>
    <xf numFmtId="0" fontId="37" fillId="0" borderId="0" applyNumberFormat="0" applyBorder="0" applyProtection="0">
      <alignment vertical="center"/>
    </xf>
    <xf numFmtId="0" fontId="38" fillId="40" borderId="0" applyNumberFormat="0" applyBorder="0" applyProtection="0">
      <alignment vertical="center"/>
    </xf>
    <xf numFmtId="0" fontId="39" fillId="40" borderId="10" applyNumberFormat="0" applyProtection="0">
      <alignment vertical="center"/>
    </xf>
    <xf numFmtId="0" fontId="40" fillId="0" borderId="0" applyNumberFormat="0" applyBorder="0" applyProtection="0">
      <alignment vertical="center"/>
    </xf>
    <xf numFmtId="0" fontId="28" fillId="0" borderId="0" applyNumberFormat="0" applyFont="0" applyBorder="0" applyProtection="0">
      <alignment vertical="center"/>
    </xf>
    <xf numFmtId="0" fontId="28" fillId="0" borderId="0" applyNumberFormat="0" applyFont="0" applyBorder="0" applyProtection="0">
      <alignment vertical="center"/>
    </xf>
    <xf numFmtId="0" fontId="31" fillId="0" borderId="0" applyNumberFormat="0" applyBorder="0" applyProtection="0">
      <alignment vertical="center"/>
    </xf>
    <xf numFmtId="0" fontId="42" fillId="0" borderId="0" applyNumberForma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21" fillId="0" borderId="0" xfId="0" applyFont="1">
      <alignment vertical="center"/>
    </xf>
    <xf numFmtId="12" fontId="0" fillId="0" borderId="0" xfId="0" applyNumberFormat="1">
      <alignment vertical="center"/>
    </xf>
    <xf numFmtId="0" fontId="22" fillId="0" borderId="0" xfId="0" applyFont="1">
      <alignment vertical="center"/>
    </xf>
    <xf numFmtId="0" fontId="2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4" fillId="0" borderId="0" xfId="0" applyFont="1" applyAlignment="1">
      <alignment horizontal="left" vertical="center" wrapText="1" indent="1"/>
    </xf>
    <xf numFmtId="0" fontId="25" fillId="0" borderId="0" xfId="0" applyFont="1" applyAlignment="1">
      <alignment horizontal="left" vertical="center" wrapText="1" indent="1"/>
    </xf>
    <xf numFmtId="0" fontId="25" fillId="0" borderId="0" xfId="0" applyFont="1" applyAlignment="1">
      <alignment horizontal="left" vertical="center" wrapText="1"/>
    </xf>
    <xf numFmtId="0" fontId="27" fillId="0" borderId="0" xfId="0" applyFont="1">
      <alignment vertical="center"/>
    </xf>
    <xf numFmtId="0" fontId="28" fillId="0" borderId="13" xfId="42" applyBorder="1" applyAlignment="1">
      <alignment horizontal="center" vertical="center"/>
    </xf>
    <xf numFmtId="49" fontId="28" fillId="0" borderId="13" xfId="42" applyNumberFormat="1" applyBorder="1" applyAlignment="1">
      <alignment vertical="center" wrapText="1"/>
    </xf>
    <xf numFmtId="177" fontId="41" fillId="0" borderId="11" xfId="43" applyNumberFormat="1" applyFont="1" applyBorder="1" applyAlignment="1">
      <alignment horizontal="center" vertical="top" wrapText="1"/>
    </xf>
    <xf numFmtId="0" fontId="44" fillId="0" borderId="0" xfId="0" applyFont="1">
      <alignment vertical="center"/>
    </xf>
    <xf numFmtId="0" fontId="0" fillId="41" borderId="0" xfId="0" applyFill="1">
      <alignment vertical="center"/>
    </xf>
    <xf numFmtId="0" fontId="42" fillId="0" borderId="0" xfId="63">
      <alignment vertical="center"/>
    </xf>
    <xf numFmtId="0" fontId="28" fillId="0" borderId="0" xfId="42">
      <alignment vertical="center"/>
    </xf>
    <xf numFmtId="177" fontId="28" fillId="0" borderId="11" xfId="43" applyNumberFormat="1" applyBorder="1" applyAlignment="1" applyProtection="1">
      <alignment horizontal="left" vertical="center"/>
      <protection locked="0"/>
    </xf>
    <xf numFmtId="0" fontId="28" fillId="0" borderId="11" xfId="42" applyBorder="1">
      <alignment vertical="center"/>
    </xf>
    <xf numFmtId="177" fontId="28" fillId="0" borderId="12" xfId="43" applyNumberFormat="1" applyBorder="1" applyAlignment="1" applyProtection="1">
      <alignment horizontal="left" vertical="center"/>
      <protection locked="0"/>
    </xf>
    <xf numFmtId="0" fontId="28" fillId="0" borderId="12" xfId="42" applyBorder="1">
      <alignment vertical="center"/>
    </xf>
    <xf numFmtId="177" fontId="28" fillId="0" borderId="0" xfId="43" applyNumberFormat="1" applyBorder="1" applyAlignment="1" applyProtection="1">
      <alignment horizontal="left" vertical="center"/>
      <protection locked="0"/>
    </xf>
    <xf numFmtId="177" fontId="28" fillId="0" borderId="13" xfId="43" applyNumberFormat="1" applyBorder="1" applyAlignment="1" applyProtection="1">
      <alignment horizontal="left" vertical="center"/>
      <protection locked="0"/>
    </xf>
    <xf numFmtId="0" fontId="28" fillId="0" borderId="13" xfId="42" applyBorder="1">
      <alignment vertical="center"/>
    </xf>
    <xf numFmtId="0" fontId="45" fillId="0" borderId="0" xfId="0" applyFont="1">
      <alignment vertical="center"/>
    </xf>
    <xf numFmtId="1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42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center" vertical="center"/>
    </xf>
    <xf numFmtId="177" fontId="28" fillId="0" borderId="11" xfId="43" applyNumberFormat="1" applyBorder="1" applyAlignment="1">
      <alignment horizontal="center" vertical="top" wrapText="1"/>
    </xf>
    <xf numFmtId="177" fontId="41" fillId="0" borderId="11" xfId="43" applyNumberFormat="1" applyFont="1" applyBorder="1" applyAlignment="1">
      <alignment horizontal="center" vertical="top" wrapText="1"/>
    </xf>
  </cellXfs>
  <cellStyles count="64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Accent" xfId="44" xr:uid="{C0C798A5-86DB-4745-A0F2-12B4AB213692}"/>
    <cellStyle name="Accent 1" xfId="45" xr:uid="{0EA4B1AA-EBAC-4D1A-8CD9-C303D57BA695}"/>
    <cellStyle name="Accent 2" xfId="46" xr:uid="{56B53347-A22B-416F-B050-6A596586E870}"/>
    <cellStyle name="Accent 3" xfId="47" xr:uid="{29A9C1BD-A10F-4244-84A6-6ADCE24CA031}"/>
    <cellStyle name="Bad" xfId="48" xr:uid="{0B189218-BC61-4F2A-AD0F-99BA47152E2B}"/>
    <cellStyle name="Error" xfId="49" xr:uid="{CFA39EC3-3984-4098-B9B6-7D1705CC3BB5}"/>
    <cellStyle name="Excel_BuiltIn_20% - 輔色1" xfId="50" xr:uid="{12D6D8B6-6607-4C4C-A65B-33D1F4EB5C05}"/>
    <cellStyle name="Footnote" xfId="51" xr:uid="{C54A2637-F3B6-4BCD-ADD7-808F9044A2B7}"/>
    <cellStyle name="Good" xfId="52" xr:uid="{35590009-95C6-471B-8461-C81E6C880589}"/>
    <cellStyle name="Heading" xfId="53" xr:uid="{FD87F7C8-15D5-4F8C-A9A5-04871523F519}"/>
    <cellStyle name="Heading 1" xfId="54" xr:uid="{D3B4D29C-79E3-4DC5-92D5-002BCA9B8C85}"/>
    <cellStyle name="Heading 2" xfId="55" xr:uid="{63F0E3EB-001F-4500-ACE3-9C41183701ED}"/>
    <cellStyle name="Hyperlink" xfId="56" xr:uid="{F05FC035-7F8C-43BB-919A-E5EA28B79A2D}"/>
    <cellStyle name="Neutral" xfId="57" xr:uid="{3AB9B974-AA45-4A00-A7A8-8581B0108A4D}"/>
    <cellStyle name="Note" xfId="58" xr:uid="{E2809662-FA5F-453C-8006-2117ABB464FE}"/>
    <cellStyle name="Result" xfId="59" xr:uid="{9F76B92E-EB04-4A7B-B546-396B93A4D08A}"/>
    <cellStyle name="Status" xfId="60" xr:uid="{87EF68AF-901C-415C-8CB2-46F0FD0B153A}"/>
    <cellStyle name="Text" xfId="61" xr:uid="{2A7DA71C-51DC-4925-B1C0-9F4861C97FB7}"/>
    <cellStyle name="Warning" xfId="62" xr:uid="{BACE2610-D96C-472F-A90E-7CA8D12B5A0E}"/>
    <cellStyle name="一般" xfId="0" builtinId="0"/>
    <cellStyle name="一般 2" xfId="42" xr:uid="{0421753B-A57C-4A77-8419-A118168DEB83}"/>
    <cellStyle name="千分位 2" xfId="43" xr:uid="{6FA5468D-5203-4D12-A161-5052E977F9E8}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超連結" xfId="63" builtinId="8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cafenomad.tw/taipei/map" TargetMode="External"/><Relationship Id="rId2" Type="http://schemas.openxmlformats.org/officeDocument/2006/relationships/hyperlink" Target="https://data.taipei/dataset/detail?id=1601ef3a-c253-4988-b047-943d9e786143" TargetMode="External"/><Relationship Id="rId1" Type="http://schemas.openxmlformats.org/officeDocument/2006/relationships/hyperlink" Target="https://data.taipei/dataset/detail?id=48aa5bca-2a4f-4fb7-a658-43cba51d5d56" TargetMode="External"/><Relationship Id="rId4" Type="http://schemas.openxmlformats.org/officeDocument/2006/relationships/hyperlink" Target="https://lvr.land.moi.gov.tw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english.gov.taipei/cp.aspx?n=F9797470B11F14BD&amp;utm_source=chatgpt.com" TargetMode="External"/><Relationship Id="rId7" Type="http://schemas.openxmlformats.org/officeDocument/2006/relationships/hyperlink" Target="https://imtravelholic.com/taiwan_travel/taiwan_travel_tips/2474/%E5%8F%B0%E5%8C%97%E8%87%AA%E7%94%B1%E8%A1%8C7%E5%A4%A7%E5%95%86%E5%9C%88/?utm_source=chatgpt.com" TargetMode="External"/><Relationship Id="rId2" Type="http://schemas.openxmlformats.org/officeDocument/2006/relationships/hyperlink" Target="https://www.travelking.com.tw/tourguide/scenery103039.html?utm_source=chatgpt.com" TargetMode="External"/><Relationship Id="rId1" Type="http://schemas.openxmlformats.org/officeDocument/2006/relationships/hyperlink" Target="https://www.taiwan.net.tw/m1.aspx?sNo=0001090&amp;id=9968" TargetMode="External"/><Relationship Id="rId6" Type="http://schemas.openxmlformats.org/officeDocument/2006/relationships/hyperlink" Target="https://www.travel.taipei/zh-tw/attraction/details/1981" TargetMode="External"/><Relationship Id="rId5" Type="http://schemas.openxmlformats.org/officeDocument/2006/relationships/hyperlink" Target="https://imtravelholic.com/taiwan_travel/taiwan_travel_tips/2474/%E5%8F%B0%E5%8C%97%E8%87%AA%E7%94%B1%E8%A1%8C7%E5%A4%A7%E5%95%86%E5%9C%88/?utm_source=chatgpt.com" TargetMode="External"/><Relationship Id="rId4" Type="http://schemas.openxmlformats.org/officeDocument/2006/relationships/hyperlink" Target="https://www.tcooc.gov.taipei/cp.aspx?n=D6636C188A8ADC8E&amp;s=928F0FB82A0806B0&amp;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E3755-97E8-4C6C-80EE-6F912F695F3B}">
  <dimension ref="A1:K9"/>
  <sheetViews>
    <sheetView topLeftCell="D1" zoomScale="115" zoomScaleNormal="115" workbookViewId="0">
      <selection activeCell="G17" sqref="G17"/>
    </sheetView>
  </sheetViews>
  <sheetFormatPr defaultRowHeight="16.5"/>
  <cols>
    <col min="2" max="2" width="42" customWidth="1"/>
    <col min="3" max="3" width="0" hidden="1" customWidth="1"/>
    <col min="4" max="4" width="14.875" bestFit="1" customWidth="1"/>
    <col min="5" max="5" width="13.875" bestFit="1" customWidth="1"/>
  </cols>
  <sheetData>
    <row r="1" spans="1:11" s="1" customFormat="1">
      <c r="A1" s="1" t="s">
        <v>0</v>
      </c>
      <c r="B1" s="12" t="s">
        <v>50</v>
      </c>
      <c r="C1" s="1" t="s">
        <v>2</v>
      </c>
      <c r="D1" s="2" t="s">
        <v>75</v>
      </c>
      <c r="E1" s="1" t="s">
        <v>3</v>
      </c>
      <c r="F1" s="1" t="s">
        <v>4</v>
      </c>
      <c r="G1" s="14" t="s">
        <v>109</v>
      </c>
      <c r="H1" s="1" t="s">
        <v>5</v>
      </c>
      <c r="I1" s="14" t="s">
        <v>110</v>
      </c>
      <c r="J1" s="1" t="s">
        <v>6</v>
      </c>
      <c r="K1" s="1" t="s">
        <v>7</v>
      </c>
    </row>
    <row r="2" spans="1:11">
      <c r="A2" t="s">
        <v>8</v>
      </c>
      <c r="B2" s="11">
        <v>17995.57</v>
      </c>
      <c r="C2">
        <v>0.71</v>
      </c>
      <c r="D2">
        <v>2618</v>
      </c>
      <c r="E2">
        <v>6</v>
      </c>
      <c r="F2">
        <v>208</v>
      </c>
      <c r="G2">
        <v>214</v>
      </c>
      <c r="H2">
        <v>70</v>
      </c>
      <c r="I2">
        <v>70</v>
      </c>
      <c r="J2">
        <v>9</v>
      </c>
      <c r="K2" t="s">
        <v>9</v>
      </c>
    </row>
    <row r="3" spans="1:11">
      <c r="A3" t="s">
        <v>10</v>
      </c>
      <c r="B3" s="11">
        <v>24858.97</v>
      </c>
      <c r="C3">
        <v>0.75</v>
      </c>
      <c r="D3">
        <v>3715</v>
      </c>
      <c r="E3">
        <v>10</v>
      </c>
      <c r="F3">
        <v>254</v>
      </c>
      <c r="G3">
        <v>264</v>
      </c>
      <c r="H3">
        <v>236</v>
      </c>
      <c r="I3">
        <v>236</v>
      </c>
      <c r="J3">
        <v>8</v>
      </c>
      <c r="K3" t="s">
        <v>9</v>
      </c>
    </row>
    <row r="4" spans="1:11">
      <c r="A4" t="s">
        <v>11</v>
      </c>
      <c r="B4" s="11">
        <v>15522.18</v>
      </c>
      <c r="C4">
        <v>0.7</v>
      </c>
      <c r="D4">
        <v>2638</v>
      </c>
      <c r="E4">
        <v>9</v>
      </c>
      <c r="F4">
        <v>288</v>
      </c>
      <c r="G4">
        <v>297</v>
      </c>
      <c r="H4">
        <v>174</v>
      </c>
      <c r="I4">
        <v>174</v>
      </c>
      <c r="J4">
        <v>7</v>
      </c>
      <c r="K4" t="s">
        <v>9</v>
      </c>
    </row>
    <row r="7" spans="1:11">
      <c r="A7" t="s">
        <v>66</v>
      </c>
      <c r="B7" t="s">
        <v>67</v>
      </c>
      <c r="E7" t="s">
        <v>70</v>
      </c>
      <c r="F7" s="16" t="s">
        <v>69</v>
      </c>
      <c r="G7" s="16"/>
    </row>
    <row r="8" spans="1:11">
      <c r="B8" s="16" t="s">
        <v>73</v>
      </c>
      <c r="F8" s="16" t="s">
        <v>68</v>
      </c>
      <c r="G8" s="16"/>
    </row>
    <row r="9" spans="1:11" ht="33">
      <c r="B9" s="6" t="s">
        <v>74</v>
      </c>
      <c r="E9" t="s">
        <v>71</v>
      </c>
      <c r="F9" s="16" t="s">
        <v>72</v>
      </c>
      <c r="G9" s="16"/>
    </row>
  </sheetData>
  <phoneticPr fontId="19" type="noConversion"/>
  <hyperlinks>
    <hyperlink ref="F8" r:id="rId1" xr:uid="{3A629599-4409-4B24-8561-A26653088FA2}"/>
    <hyperlink ref="F7" r:id="rId2" xr:uid="{31E99B84-9436-405D-935F-A337D712BF9D}"/>
    <hyperlink ref="F9" r:id="rId3" xr:uid="{4A9D3130-94FC-43E1-B290-04A6D4BA91CF}"/>
    <hyperlink ref="B8" r:id="rId4" xr:uid="{7861ECB0-8808-49B1-B663-4510E316CDE9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974E0-E1FB-4ABC-9E81-CEC3F69DFDBA}">
  <dimension ref="A1:I9"/>
  <sheetViews>
    <sheetView workbookViewId="0">
      <selection activeCell="D19" sqref="D19"/>
    </sheetView>
  </sheetViews>
  <sheetFormatPr defaultRowHeight="16.5"/>
  <sheetData>
    <row r="1" spans="1:9">
      <c r="A1" s="31" t="s">
        <v>51</v>
      </c>
      <c r="B1" s="31"/>
      <c r="C1" s="31"/>
      <c r="D1" s="31"/>
      <c r="E1" s="31"/>
      <c r="F1" s="31"/>
      <c r="G1" s="31"/>
      <c r="H1" s="31"/>
      <c r="I1" s="31"/>
    </row>
    <row r="2" spans="1:9">
      <c r="A2" s="32" t="s">
        <v>52</v>
      </c>
      <c r="B2" s="32" t="s">
        <v>53</v>
      </c>
      <c r="C2" s="32"/>
      <c r="D2" s="32" t="s">
        <v>54</v>
      </c>
      <c r="E2" s="32"/>
      <c r="F2" s="32" t="s">
        <v>55</v>
      </c>
      <c r="G2" s="32" t="s">
        <v>56</v>
      </c>
      <c r="H2" s="32"/>
      <c r="I2" s="32"/>
    </row>
    <row r="3" spans="1:9" ht="33">
      <c r="A3" s="32"/>
      <c r="B3" s="13" t="s">
        <v>57</v>
      </c>
      <c r="C3" s="13" t="s">
        <v>58</v>
      </c>
      <c r="D3" s="13" t="s">
        <v>57</v>
      </c>
      <c r="E3" s="13" t="s">
        <v>58</v>
      </c>
      <c r="F3" s="32"/>
      <c r="G3" s="13" t="s">
        <v>59</v>
      </c>
      <c r="H3" s="13" t="s">
        <v>60</v>
      </c>
      <c r="I3" s="13" t="s">
        <v>61</v>
      </c>
    </row>
    <row r="4" spans="1:9">
      <c r="A4" s="18" t="s">
        <v>62</v>
      </c>
      <c r="B4" s="19">
        <v>456</v>
      </c>
      <c r="C4" s="19">
        <v>456</v>
      </c>
      <c r="D4" s="19">
        <v>9620</v>
      </c>
      <c r="E4" s="19">
        <v>9578</v>
      </c>
      <c r="F4" s="19">
        <v>1080839</v>
      </c>
      <c r="G4" s="19">
        <v>1150128</v>
      </c>
      <c r="H4" s="19">
        <v>1291585</v>
      </c>
      <c r="I4" s="19">
        <v>2441713</v>
      </c>
    </row>
    <row r="5" spans="1:9">
      <c r="A5" s="18" t="s">
        <v>63</v>
      </c>
      <c r="B5" s="19">
        <v>41</v>
      </c>
      <c r="C5" s="19">
        <v>41</v>
      </c>
      <c r="D5" s="19">
        <v>914</v>
      </c>
      <c r="E5" s="19">
        <v>912</v>
      </c>
      <c r="F5" s="19">
        <v>90888</v>
      </c>
      <c r="G5" s="19">
        <v>94581</v>
      </c>
      <c r="H5" s="19">
        <v>107108</v>
      </c>
      <c r="I5" s="19">
        <v>201689</v>
      </c>
    </row>
    <row r="6" spans="1:9">
      <c r="A6" s="20" t="s">
        <v>64</v>
      </c>
      <c r="B6" s="21">
        <v>53</v>
      </c>
      <c r="C6" s="21">
        <v>53</v>
      </c>
      <c r="D6" s="21">
        <v>1025</v>
      </c>
      <c r="E6" s="21">
        <v>1021</v>
      </c>
      <c r="F6" s="21">
        <v>120825</v>
      </c>
      <c r="G6" s="21">
        <v>130212</v>
      </c>
      <c r="H6" s="21">
        <v>152221</v>
      </c>
      <c r="I6" s="21">
        <v>282433</v>
      </c>
    </row>
    <row r="7" spans="1:9">
      <c r="A7" s="23" t="s">
        <v>65</v>
      </c>
      <c r="B7" s="24">
        <v>42</v>
      </c>
      <c r="C7" s="24">
        <v>42</v>
      </c>
      <c r="D7" s="24">
        <v>872</v>
      </c>
      <c r="E7" s="24">
        <v>869</v>
      </c>
      <c r="F7" s="24">
        <v>103565</v>
      </c>
      <c r="G7" s="24">
        <v>97039</v>
      </c>
      <c r="H7" s="24">
        <v>115337</v>
      </c>
      <c r="I7" s="24">
        <v>212376</v>
      </c>
    </row>
    <row r="8" spans="1:9">
      <c r="A8" s="22"/>
      <c r="B8" s="17"/>
      <c r="C8" s="17"/>
      <c r="D8" s="17"/>
      <c r="E8" s="17"/>
      <c r="F8" s="17"/>
      <c r="G8" s="17"/>
      <c r="H8" s="17"/>
      <c r="I8" s="17"/>
    </row>
    <row r="9" spans="1:9">
      <c r="A9" s="22"/>
      <c r="B9" s="17"/>
      <c r="C9" s="17"/>
      <c r="D9" s="17"/>
      <c r="E9" s="17"/>
      <c r="F9" s="17"/>
      <c r="G9" s="17"/>
      <c r="H9" s="17"/>
      <c r="I9" s="17"/>
    </row>
  </sheetData>
  <mergeCells count="6">
    <mergeCell ref="A1:I1"/>
    <mergeCell ref="A2:A3"/>
    <mergeCell ref="B2:C2"/>
    <mergeCell ref="D2:E2"/>
    <mergeCell ref="F2:F3"/>
    <mergeCell ref="G2:I2"/>
  </mergeCells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12F8F-E7E8-4892-8F45-5D9ADCD30828}">
  <dimension ref="A1:A36"/>
  <sheetViews>
    <sheetView workbookViewId="0">
      <selection activeCell="F27" sqref="F27"/>
    </sheetView>
  </sheetViews>
  <sheetFormatPr defaultRowHeight="16.5"/>
  <sheetData>
    <row r="1" spans="1:1">
      <c r="A1" s="15" t="s">
        <v>81</v>
      </c>
    </row>
    <row r="2" spans="1:1">
      <c r="A2" s="15" t="s">
        <v>82</v>
      </c>
    </row>
    <row r="3" spans="1:1">
      <c r="A3" t="s">
        <v>83</v>
      </c>
    </row>
    <row r="4" spans="1:1">
      <c r="A4" t="s">
        <v>84</v>
      </c>
    </row>
    <row r="5" spans="1:1">
      <c r="A5" t="s">
        <v>85</v>
      </c>
    </row>
    <row r="7" spans="1:1">
      <c r="A7" t="s">
        <v>86</v>
      </c>
    </row>
    <row r="8" spans="1:1">
      <c r="A8" s="16" t="s">
        <v>103</v>
      </c>
    </row>
    <row r="9" spans="1:1">
      <c r="A9" t="s">
        <v>87</v>
      </c>
    </row>
    <row r="10" spans="1:1">
      <c r="A10" s="16" t="s">
        <v>104</v>
      </c>
    </row>
    <row r="11" spans="1:1">
      <c r="A11" t="s">
        <v>88</v>
      </c>
    </row>
    <row r="13" spans="1:1">
      <c r="A13" s="15" t="s">
        <v>89</v>
      </c>
    </row>
    <row r="14" spans="1:1">
      <c r="A14" s="15" t="s">
        <v>90</v>
      </c>
    </row>
    <row r="15" spans="1:1">
      <c r="A15" t="s">
        <v>83</v>
      </c>
    </row>
    <row r="16" spans="1:1">
      <c r="A16" t="s">
        <v>91</v>
      </c>
    </row>
    <row r="17" spans="1:1">
      <c r="A17" t="s">
        <v>92</v>
      </c>
    </row>
    <row r="19" spans="1:1">
      <c r="A19" t="s">
        <v>93</v>
      </c>
    </row>
    <row r="20" spans="1:1">
      <c r="A20" s="16" t="s">
        <v>105</v>
      </c>
    </row>
    <row r="21" spans="1:1">
      <c r="A21" t="s">
        <v>94</v>
      </c>
    </row>
    <row r="22" spans="1:1">
      <c r="A22" s="16" t="s">
        <v>106</v>
      </c>
    </row>
    <row r="23" spans="1:1">
      <c r="A23" t="s">
        <v>95</v>
      </c>
    </row>
    <row r="24" spans="1:1">
      <c r="A24" s="16" t="s">
        <v>107</v>
      </c>
    </row>
    <row r="26" spans="1:1">
      <c r="A26" s="15" t="s">
        <v>96</v>
      </c>
    </row>
    <row r="27" spans="1:1">
      <c r="A27" s="15" t="s">
        <v>97</v>
      </c>
    </row>
    <row r="28" spans="1:1">
      <c r="A28" t="s">
        <v>83</v>
      </c>
    </row>
    <row r="29" spans="1:1">
      <c r="A29" t="s">
        <v>98</v>
      </c>
    </row>
    <row r="30" spans="1:1">
      <c r="A30" t="s">
        <v>99</v>
      </c>
    </row>
    <row r="32" spans="1:1">
      <c r="A32" t="s">
        <v>100</v>
      </c>
    </row>
    <row r="33" spans="1:1">
      <c r="A33" s="16" t="s">
        <v>108</v>
      </c>
    </row>
    <row r="34" spans="1:1">
      <c r="A34" t="s">
        <v>101</v>
      </c>
    </row>
    <row r="35" spans="1:1">
      <c r="A35" t="s">
        <v>102</v>
      </c>
    </row>
    <row r="36" spans="1:1">
      <c r="A36" s="16" t="s">
        <v>107</v>
      </c>
    </row>
  </sheetData>
  <phoneticPr fontId="19" type="noConversion"/>
  <hyperlinks>
    <hyperlink ref="A8" r:id="rId1" xr:uid="{6CBFD32C-62BD-466E-BA53-B3B58FA70939}"/>
    <hyperlink ref="A10" r:id="rId2" xr:uid="{8FE0F3EE-411C-4AA4-982E-65F5D266445C}"/>
    <hyperlink ref="A20" r:id="rId3" xr:uid="{5DC9040D-8310-4D60-A073-69EE09FB92CD}"/>
    <hyperlink ref="A22" r:id="rId4" xr:uid="{9E2E6E8F-D3F1-4588-8997-4AF4E5467A89}"/>
    <hyperlink ref="A24" r:id="rId5" xr:uid="{3E05DD3E-DB3D-4A15-9553-84251CF4C97A}"/>
    <hyperlink ref="A33" r:id="rId6" xr:uid="{D189282B-BC50-4BB3-BE2C-F3547B8D3354}"/>
    <hyperlink ref="A36" r:id="rId7" xr:uid="{4F68A2F3-3B89-4138-812D-E3815C9354D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21239-4695-4FD6-8CBF-0695A393DB4A}">
  <dimension ref="A1:G11"/>
  <sheetViews>
    <sheetView workbookViewId="0">
      <selection activeCell="I8" sqref="I8"/>
    </sheetView>
  </sheetViews>
  <sheetFormatPr defaultRowHeight="16.5"/>
  <cols>
    <col min="1" max="1" width="25.75" bestFit="1" customWidth="1"/>
    <col min="2" max="2" width="9.5" bestFit="1" customWidth="1"/>
    <col min="6" max="6" width="9.5" bestFit="1" customWidth="1"/>
    <col min="7" max="7" width="12.625" bestFit="1" customWidth="1"/>
  </cols>
  <sheetData>
    <row r="1" spans="1:7" s="1" customFormat="1">
      <c r="A1" s="2" t="s">
        <v>42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4" t="s">
        <v>43</v>
      </c>
    </row>
    <row r="2" spans="1:7">
      <c r="A2" t="s">
        <v>12</v>
      </c>
      <c r="B2" s="3">
        <v>5</v>
      </c>
      <c r="C2" s="3">
        <v>3</v>
      </c>
      <c r="D2" s="3">
        <v>1</v>
      </c>
      <c r="E2" s="3">
        <v>2</v>
      </c>
      <c r="F2" s="3">
        <v>2</v>
      </c>
      <c r="G2" s="27">
        <v>2.27</v>
      </c>
    </row>
    <row r="3" spans="1:7">
      <c r="A3" t="s">
        <v>13</v>
      </c>
      <c r="B3" s="3">
        <v>3</v>
      </c>
      <c r="C3" s="26">
        <v>0.2</v>
      </c>
      <c r="D3" s="26">
        <v>0.33333333333333331</v>
      </c>
      <c r="E3" s="26">
        <v>0.2</v>
      </c>
      <c r="F3" s="26">
        <v>0.2</v>
      </c>
      <c r="G3" s="27">
        <v>0.38100000000000001</v>
      </c>
    </row>
    <row r="4" spans="1:7">
      <c r="A4" t="s">
        <v>14</v>
      </c>
      <c r="B4" s="3">
        <v>3</v>
      </c>
      <c r="C4" s="26">
        <v>0.2</v>
      </c>
      <c r="D4" s="3">
        <v>5</v>
      </c>
      <c r="E4" s="3">
        <v>5</v>
      </c>
      <c r="F4" s="3">
        <v>3</v>
      </c>
      <c r="G4" s="27">
        <v>2.14</v>
      </c>
    </row>
    <row r="5" spans="1:7">
      <c r="A5" t="s">
        <v>15</v>
      </c>
      <c r="B5" s="26">
        <v>0.33333333333333331</v>
      </c>
      <c r="C5" s="26">
        <v>0.2</v>
      </c>
      <c r="D5" s="26">
        <v>0.14285714285714285</v>
      </c>
      <c r="E5" s="26">
        <v>0.2</v>
      </c>
      <c r="F5" s="26">
        <v>0.25</v>
      </c>
      <c r="G5" s="27">
        <v>0.216</v>
      </c>
    </row>
    <row r="6" spans="1:7">
      <c r="A6" t="s">
        <v>16</v>
      </c>
      <c r="B6" s="3">
        <v>3</v>
      </c>
      <c r="C6" s="3">
        <v>1</v>
      </c>
      <c r="D6" s="26">
        <v>0.33333333333333331</v>
      </c>
      <c r="E6" s="26">
        <v>0.2</v>
      </c>
      <c r="F6" s="26">
        <v>0.25</v>
      </c>
      <c r="G6" s="27">
        <v>0.54900000000000004</v>
      </c>
    </row>
    <row r="7" spans="1:7">
      <c r="A7" t="s">
        <v>17</v>
      </c>
      <c r="B7" s="3">
        <v>3</v>
      </c>
      <c r="C7" s="3">
        <v>3</v>
      </c>
      <c r="D7" s="26">
        <v>0.2</v>
      </c>
      <c r="E7" s="3">
        <v>5</v>
      </c>
      <c r="F7" s="26">
        <v>0.2</v>
      </c>
      <c r="G7" s="27">
        <v>1.1299999999999999</v>
      </c>
    </row>
    <row r="8" spans="1:7">
      <c r="A8" t="s">
        <v>18</v>
      </c>
      <c r="B8" s="26">
        <v>0.2</v>
      </c>
      <c r="C8" s="26">
        <v>0.2</v>
      </c>
      <c r="D8" s="26">
        <v>0.2</v>
      </c>
      <c r="E8" s="26">
        <v>0.2</v>
      </c>
      <c r="F8" s="26">
        <v>0.5</v>
      </c>
      <c r="G8" s="27">
        <v>0.24</v>
      </c>
    </row>
    <row r="9" spans="1:7">
      <c r="A9" t="s">
        <v>19</v>
      </c>
      <c r="B9" s="3">
        <v>4</v>
      </c>
      <c r="C9" s="3">
        <v>5</v>
      </c>
      <c r="D9" s="3">
        <v>5</v>
      </c>
      <c r="E9" s="3">
        <v>5</v>
      </c>
      <c r="F9" s="26">
        <v>0.5</v>
      </c>
      <c r="G9" s="27">
        <v>3.016</v>
      </c>
    </row>
    <row r="10" spans="1:7">
      <c r="A10" t="s">
        <v>20</v>
      </c>
      <c r="B10" s="26">
        <v>0.2</v>
      </c>
      <c r="C10" s="3">
        <v>3</v>
      </c>
      <c r="D10" s="3">
        <v>1</v>
      </c>
      <c r="E10" s="26">
        <v>0.2</v>
      </c>
      <c r="F10" s="3">
        <v>1</v>
      </c>
      <c r="G10" s="27">
        <v>0.65400000000000003</v>
      </c>
    </row>
    <row r="11" spans="1:7">
      <c r="A11" t="s">
        <v>21</v>
      </c>
      <c r="B11" s="26">
        <v>0.2</v>
      </c>
      <c r="C11" s="26">
        <v>0.2</v>
      </c>
      <c r="D11" s="26">
        <v>0.2</v>
      </c>
      <c r="E11" s="26">
        <v>0.2</v>
      </c>
      <c r="F11" s="3">
        <v>2</v>
      </c>
      <c r="G11" s="27">
        <v>0.317</v>
      </c>
    </row>
  </sheetData>
  <phoneticPr fontId="1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BD89C-F89B-4EC6-851D-D8A8B8C51F8E}">
  <dimension ref="A1:P19"/>
  <sheetViews>
    <sheetView workbookViewId="0">
      <selection activeCell="F11" sqref="F11"/>
    </sheetView>
  </sheetViews>
  <sheetFormatPr defaultRowHeight="16.5"/>
  <cols>
    <col min="8" max="8" width="36.75" customWidth="1"/>
  </cols>
  <sheetData>
    <row r="1" spans="1:8">
      <c r="A1" s="5"/>
      <c r="B1" s="5" t="s">
        <v>44</v>
      </c>
      <c r="C1" s="5" t="s">
        <v>33</v>
      </c>
      <c r="D1" s="5" t="s">
        <v>45</v>
      </c>
      <c r="E1" s="5" t="s">
        <v>46</v>
      </c>
      <c r="F1" s="5" t="s">
        <v>47</v>
      </c>
    </row>
    <row r="2" spans="1:8">
      <c r="A2" s="6" t="s">
        <v>44</v>
      </c>
      <c r="B2" s="6">
        <v>1</v>
      </c>
      <c r="C2" s="6">
        <v>2.27</v>
      </c>
      <c r="D2" s="6">
        <v>0.38100000000000001</v>
      </c>
      <c r="E2" s="6">
        <v>2.14</v>
      </c>
      <c r="F2" s="6">
        <v>0.216</v>
      </c>
      <c r="H2" s="25" t="s">
        <v>119</v>
      </c>
    </row>
    <row r="3" spans="1:8">
      <c r="A3" s="6" t="s">
        <v>33</v>
      </c>
      <c r="B3" s="6">
        <v>0.441</v>
      </c>
      <c r="C3" s="6">
        <v>1</v>
      </c>
      <c r="D3" s="6">
        <v>0.54900000000000004</v>
      </c>
      <c r="E3" s="6">
        <v>1.1299999999999999</v>
      </c>
      <c r="F3" s="6">
        <v>0.24</v>
      </c>
      <c r="H3" s="9" t="s">
        <v>49</v>
      </c>
    </row>
    <row r="4" spans="1:8">
      <c r="A4" s="6" t="s">
        <v>45</v>
      </c>
      <c r="B4" s="6">
        <v>2.6259999999999999</v>
      </c>
      <c r="C4" s="6">
        <v>1.8220000000000001</v>
      </c>
      <c r="D4" s="6">
        <v>1</v>
      </c>
      <c r="E4" s="6">
        <v>3.016</v>
      </c>
      <c r="F4" s="6">
        <v>0.65400000000000003</v>
      </c>
      <c r="H4" s="8" t="s">
        <v>120</v>
      </c>
    </row>
    <row r="5" spans="1:8">
      <c r="A5" s="6" t="s">
        <v>46</v>
      </c>
      <c r="B5" s="6">
        <v>0.46700000000000003</v>
      </c>
      <c r="C5" s="6">
        <v>0.88500000000000001</v>
      </c>
      <c r="D5" s="6">
        <v>0.33100000000000002</v>
      </c>
      <c r="E5" s="6">
        <v>1</v>
      </c>
      <c r="F5" s="6">
        <v>0.317</v>
      </c>
      <c r="H5" s="8" t="s">
        <v>48</v>
      </c>
    </row>
    <row r="6" spans="1:8">
      <c r="A6" s="6" t="s">
        <v>47</v>
      </c>
      <c r="B6" s="6">
        <v>4.63</v>
      </c>
      <c r="C6" s="6">
        <v>4.17</v>
      </c>
      <c r="D6" s="6">
        <v>1.53</v>
      </c>
      <c r="E6" s="6">
        <v>3.1549999999999998</v>
      </c>
      <c r="F6" s="6">
        <v>1</v>
      </c>
    </row>
    <row r="10" spans="1:8">
      <c r="A10" s="5" t="s">
        <v>22</v>
      </c>
      <c r="B10" s="5" t="s">
        <v>23</v>
      </c>
    </row>
    <row r="11" spans="1:8">
      <c r="A11" s="6" t="s">
        <v>1</v>
      </c>
      <c r="B11" s="6">
        <v>0.13900000000000001</v>
      </c>
    </row>
    <row r="12" spans="1:8">
      <c r="A12" s="6" t="s">
        <v>33</v>
      </c>
      <c r="B12" s="6">
        <v>9.7000000000000003E-2</v>
      </c>
      <c r="H12" s="10"/>
    </row>
    <row r="13" spans="1:8" ht="33">
      <c r="A13" s="6" t="s">
        <v>34</v>
      </c>
      <c r="B13" s="6">
        <v>0.26200000000000001</v>
      </c>
    </row>
    <row r="14" spans="1:8" ht="33">
      <c r="A14" s="6" t="s">
        <v>35</v>
      </c>
      <c r="B14" s="6">
        <v>8.8999999999999996E-2</v>
      </c>
    </row>
    <row r="15" spans="1:8" ht="33">
      <c r="A15" s="6" t="s">
        <v>6</v>
      </c>
      <c r="B15" s="6">
        <v>0.41299999999999998</v>
      </c>
    </row>
    <row r="19" spans="16:16" ht="18.75">
      <c r="P19" s="7"/>
    </row>
  </sheetData>
  <phoneticPr fontId="1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F508F-3A63-4851-8CBC-CBB18859FEA3}">
  <dimension ref="A1:K17"/>
  <sheetViews>
    <sheetView tabSelected="1" zoomScale="115" zoomScaleNormal="115" workbookViewId="0">
      <selection activeCell="H11" sqref="H11"/>
    </sheetView>
  </sheetViews>
  <sheetFormatPr defaultRowHeight="16.5"/>
  <cols>
    <col min="1" max="1" width="11.625" bestFit="1" customWidth="1"/>
    <col min="2" max="2" width="11" customWidth="1"/>
    <col min="3" max="3" width="14.25" customWidth="1"/>
    <col min="4" max="4" width="12.75" bestFit="1" customWidth="1"/>
    <col min="6" max="8" width="9.875" bestFit="1" customWidth="1"/>
    <col min="9" max="11" width="13.625" bestFit="1" customWidth="1"/>
  </cols>
  <sheetData>
    <row r="1" spans="1:11" s="1" customFormat="1" ht="12.75">
      <c r="A1" s="30" t="s">
        <v>22</v>
      </c>
      <c r="B1" s="30" t="s">
        <v>23</v>
      </c>
      <c r="C1" s="30" t="s">
        <v>24</v>
      </c>
      <c r="D1" s="30" t="s">
        <v>25</v>
      </c>
      <c r="E1" s="30" t="s">
        <v>26</v>
      </c>
      <c r="F1" s="30" t="s">
        <v>27</v>
      </c>
      <c r="G1" s="30" t="s">
        <v>28</v>
      </c>
      <c r="H1" s="30" t="s">
        <v>29</v>
      </c>
      <c r="I1" s="30" t="s">
        <v>30</v>
      </c>
      <c r="J1" s="30" t="s">
        <v>31</v>
      </c>
      <c r="K1" s="30" t="s">
        <v>32</v>
      </c>
    </row>
    <row r="2" spans="1:11">
      <c r="A2" t="s">
        <v>1</v>
      </c>
      <c r="B2" s="27">
        <v>0.13900000000000001</v>
      </c>
      <c r="C2" s="28">
        <v>17995.57</v>
      </c>
      <c r="D2" s="28">
        <v>24858.97</v>
      </c>
      <c r="E2" s="28">
        <v>15522.18</v>
      </c>
      <c r="F2" s="29">
        <f>C2/SQRT(SUMSQ(C2:E2))</f>
        <v>0.5232625815346087</v>
      </c>
      <c r="G2" s="29">
        <f>D2/SQRT(SUMSQ(C2:E2))</f>
        <v>0.72283172005618002</v>
      </c>
      <c r="H2" s="29">
        <f>E2/SQRT(SUMSQ(C2:E2))</f>
        <v>0.45134307931590234</v>
      </c>
      <c r="I2" s="29">
        <f t="shared" ref="I2:K6" si="0">F2*$B2</f>
        <v>7.2733498833310609E-2</v>
      </c>
      <c r="J2" s="29">
        <f t="shared" si="0"/>
        <v>0.10047360908780903</v>
      </c>
      <c r="K2" s="29">
        <f t="shared" si="0"/>
        <v>6.2736688024910434E-2</v>
      </c>
    </row>
    <row r="3" spans="1:11">
      <c r="A3" t="s">
        <v>33</v>
      </c>
      <c r="B3" s="27">
        <v>9.7000000000000003E-2</v>
      </c>
      <c r="C3" s="27">
        <v>2618</v>
      </c>
      <c r="D3" s="27">
        <v>3715</v>
      </c>
      <c r="E3" s="27">
        <v>2638</v>
      </c>
      <c r="F3" s="29">
        <f>C3/SQRT(SUMSQ(C3:E3))</f>
        <v>0.49819970297464888</v>
      </c>
      <c r="G3" s="29">
        <f>D3/SQRT(SUMSQ(C3:E3))</f>
        <v>0.70695641579481305</v>
      </c>
      <c r="H3" s="29">
        <f>E3/SQRT(SUMSQ(C3:E3))</f>
        <v>0.50200565945268283</v>
      </c>
      <c r="I3" s="29">
        <f t="shared" si="0"/>
        <v>4.8325371188540946E-2</v>
      </c>
      <c r="J3" s="29">
        <f t="shared" si="0"/>
        <v>6.857477233209687E-2</v>
      </c>
      <c r="K3" s="29">
        <f t="shared" si="0"/>
        <v>4.8694548966910237E-2</v>
      </c>
    </row>
    <row r="4" spans="1:11">
      <c r="A4" t="s">
        <v>34</v>
      </c>
      <c r="B4" s="27">
        <v>0.26200000000000001</v>
      </c>
      <c r="C4" s="27">
        <v>214</v>
      </c>
      <c r="D4" s="27">
        <v>264</v>
      </c>
      <c r="E4" s="27">
        <v>297</v>
      </c>
      <c r="F4" s="29">
        <f>C4/SQRT(SUMSQ(C4:E4))</f>
        <v>0.47415156990506757</v>
      </c>
      <c r="G4" s="29">
        <f>D4/SQRT(SUMSQ(C4:E4))</f>
        <v>0.58493464698569075</v>
      </c>
      <c r="H4" s="29">
        <f>E4/SQRT(SUMSQ(C4:E4))</f>
        <v>0.65805147785890217</v>
      </c>
      <c r="I4" s="29">
        <f t="shared" si="0"/>
        <v>0.12422771131512771</v>
      </c>
      <c r="J4" s="29">
        <f t="shared" si="0"/>
        <v>0.15325287751025099</v>
      </c>
      <c r="K4" s="29">
        <f t="shared" si="0"/>
        <v>0.17240948719903237</v>
      </c>
    </row>
    <row r="5" spans="1:11">
      <c r="A5" t="s">
        <v>35</v>
      </c>
      <c r="B5" s="27">
        <v>8.8999999999999996E-2</v>
      </c>
      <c r="C5" s="27">
        <v>70</v>
      </c>
      <c r="D5" s="27">
        <v>236</v>
      </c>
      <c r="E5" s="27">
        <v>174</v>
      </c>
      <c r="F5" s="29">
        <f>C5/SQRT(SUMSQ(C5:E5))</f>
        <v>0.23221111122440252</v>
      </c>
      <c r="G5" s="29">
        <f>D5/SQRT(SUMSQ(C5:E5))</f>
        <v>0.78288317498512849</v>
      </c>
      <c r="H5" s="29">
        <f>E5/SQRT(SUMSQ(C5:E5))</f>
        <v>0.57721047647208634</v>
      </c>
      <c r="I5" s="29">
        <f t="shared" si="0"/>
        <v>2.0666788898971823E-2</v>
      </c>
      <c r="J5" s="29">
        <f t="shared" si="0"/>
        <v>6.967660257367643E-2</v>
      </c>
      <c r="K5" s="29">
        <f t="shared" si="0"/>
        <v>5.1371732406015683E-2</v>
      </c>
    </row>
    <row r="6" spans="1:11">
      <c r="A6" t="s">
        <v>6</v>
      </c>
      <c r="B6" s="27">
        <v>0.41299999999999998</v>
      </c>
      <c r="C6" s="27">
        <v>9</v>
      </c>
      <c r="D6" s="27">
        <v>8</v>
      </c>
      <c r="E6" s="27">
        <v>7</v>
      </c>
      <c r="F6" s="29">
        <f>C6/SQRT(SUMSQ(C6:E6))</f>
        <v>0.64616234275596429</v>
      </c>
      <c r="G6" s="29">
        <f>D6/SQRT(SUMSQ(C6:E6))</f>
        <v>0.57436652689419054</v>
      </c>
      <c r="H6" s="29">
        <f>E6/SQRT(SUMSQ(C6:E6))</f>
        <v>0.50257071103241668</v>
      </c>
      <c r="I6" s="29">
        <f t="shared" si="0"/>
        <v>0.26686504755821322</v>
      </c>
      <c r="J6" s="29">
        <f t="shared" si="0"/>
        <v>0.23721337560730069</v>
      </c>
      <c r="K6" s="29">
        <f t="shared" si="0"/>
        <v>0.20756170365638807</v>
      </c>
    </row>
    <row r="7" spans="1:11" s="1" customFormat="1" ht="12.75">
      <c r="B7" s="30"/>
      <c r="C7" s="30" t="s">
        <v>36</v>
      </c>
      <c r="D7" s="30" t="s">
        <v>37</v>
      </c>
    </row>
    <row r="8" spans="1:11">
      <c r="A8" t="s">
        <v>1</v>
      </c>
      <c r="B8" s="27">
        <v>0.13900000000000001</v>
      </c>
      <c r="C8" s="29">
        <f>MAX(I2:K2)</f>
        <v>0.10047360908780903</v>
      </c>
      <c r="D8" s="29">
        <f>MIN(I2:K2)</f>
        <v>6.2736688024910434E-2</v>
      </c>
    </row>
    <row r="9" spans="1:11">
      <c r="A9" t="s">
        <v>33</v>
      </c>
      <c r="B9" s="27">
        <v>9.7000000000000003E-2</v>
      </c>
      <c r="C9" s="29">
        <f>MIN(I3:K3)</f>
        <v>4.8325371188540946E-2</v>
      </c>
      <c r="D9" s="29">
        <f>MAX(I3:K3)</f>
        <v>6.857477233209687E-2</v>
      </c>
    </row>
    <row r="10" spans="1:11">
      <c r="A10" t="s">
        <v>34</v>
      </c>
      <c r="B10" s="27">
        <v>0.26200000000000001</v>
      </c>
      <c r="C10" s="29">
        <f>MAX(I4:K4)</f>
        <v>0.17240948719903237</v>
      </c>
      <c r="D10" s="29">
        <f>MIN(I4:K4)</f>
        <v>0.12422771131512771</v>
      </c>
    </row>
    <row r="11" spans="1:11">
      <c r="A11" t="s">
        <v>35</v>
      </c>
      <c r="B11" s="27">
        <v>8.8999999999999996E-2</v>
      </c>
      <c r="C11" s="29">
        <f>MIN(I5:K5)</f>
        <v>2.0666788898971823E-2</v>
      </c>
      <c r="D11" s="29">
        <f>MAX(I5:K5)</f>
        <v>6.967660257367643E-2</v>
      </c>
    </row>
    <row r="12" spans="1:11">
      <c r="A12" t="s">
        <v>6</v>
      </c>
      <c r="B12" s="27">
        <v>0.41299999999999998</v>
      </c>
      <c r="C12" s="29">
        <f>MAX(I6:K6)</f>
        <v>0.26686504755821322</v>
      </c>
      <c r="D12" s="29">
        <f>MIN(I6:K6)</f>
        <v>0.20756170365638807</v>
      </c>
    </row>
    <row r="14" spans="1:11" s="1" customFormat="1" ht="12.75">
      <c r="A14" s="30" t="s">
        <v>0</v>
      </c>
      <c r="B14" s="30" t="s">
        <v>38</v>
      </c>
      <c r="C14" s="30" t="s">
        <v>39</v>
      </c>
      <c r="D14" s="30" t="s">
        <v>40</v>
      </c>
      <c r="E14" s="30" t="s">
        <v>41</v>
      </c>
    </row>
    <row r="15" spans="1:11">
      <c r="A15" t="s">
        <v>8</v>
      </c>
      <c r="B15" s="29" cm="1">
        <f t="array" ref="B15">SQRT(SUMPRODUCT((I2:I6 - $C$8:$C$12)^2))</f>
        <v>5.5596737712374326E-2</v>
      </c>
      <c r="C15" s="29" cm="1">
        <f t="array" ref="C15">SQRT(SUMPRODUCT((I2:I6 - $D$8:$D$12)^2))</f>
        <v>8.0179940804287184E-2</v>
      </c>
      <c r="D15" s="29">
        <f>C15/(B15+C15)</f>
        <v>0.59052807654628325</v>
      </c>
      <c r="E15" s="27">
        <f>RANK(D15,$D$15:$D$17,0)</f>
        <v>1</v>
      </c>
    </row>
    <row r="16" spans="1:11">
      <c r="A16" t="s">
        <v>10</v>
      </c>
      <c r="B16" s="29" cm="1">
        <f t="array" ref="B16">SQRT(SUMPRODUCT((J2:J6 - $C$8:$C$12)^2))</f>
        <v>6.3703982821757335E-2</v>
      </c>
      <c r="C16" s="29" cm="1">
        <f t="array" ref="C16">SQRT(SUMPRODUCT((J2:J6 - $D$8:$D$12)^2))</f>
        <v>5.6087049605470465E-2</v>
      </c>
      <c r="D16" s="29">
        <f>C16/(B16+C16)</f>
        <v>0.46820741477074213</v>
      </c>
      <c r="E16" s="27">
        <f>RANK(D16,$D$15:$D$17,0)</f>
        <v>2</v>
      </c>
    </row>
    <row r="17" spans="1:5">
      <c r="A17" t="s">
        <v>11</v>
      </c>
      <c r="B17" s="29" cm="1">
        <f t="array" ref="B17">SQRT(SUMPRODUCT((K2:K6 - $C$8:$C$12)^2))</f>
        <v>7.6706529430344977E-2</v>
      </c>
      <c r="C17" s="29" cm="1">
        <f t="array" ref="C17">SQRT(SUMPRODUCT((K2:K6 - $D$8:$D$12)^2))</f>
        <v>5.5242873569641956E-2</v>
      </c>
      <c r="D17" s="29">
        <f>C17/(B17+C17)</f>
        <v>0.41866709749075132</v>
      </c>
      <c r="E17" s="27">
        <f>RANK(D17,$D$15:$D$17,0)</f>
        <v>3</v>
      </c>
    </row>
  </sheetData>
  <phoneticPr fontId="19" type="noConversion"/>
  <pageMargins left="0.75" right="0.75" top="1" bottom="1" header="0.5" footer="0.5"/>
  <ignoredErrors>
    <ignoredError sqref="C9:D9 C10:D11" formula="1"/>
    <ignoredError sqref="F2:F6 G2:G6 H2:H6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A50DB-E72F-44CB-870C-4107E01A5717}">
  <dimension ref="A1:K17"/>
  <sheetViews>
    <sheetView workbookViewId="0">
      <selection activeCell="G14" sqref="G14"/>
    </sheetView>
  </sheetViews>
  <sheetFormatPr defaultRowHeight="16.5"/>
  <cols>
    <col min="1" max="1" width="11.625" bestFit="1" customWidth="1"/>
    <col min="2" max="2" width="11" customWidth="1"/>
    <col min="3" max="3" width="14.25" customWidth="1"/>
    <col min="4" max="4" width="12.75" bestFit="1" customWidth="1"/>
    <col min="6" max="6" width="12.75" bestFit="1" customWidth="1"/>
    <col min="11" max="11" width="9.5" bestFit="1" customWidth="1"/>
  </cols>
  <sheetData>
    <row r="1" spans="1:11" s="1" customFormat="1" ht="12.7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</row>
    <row r="2" spans="1:11">
      <c r="A2" t="s">
        <v>1</v>
      </c>
      <c r="B2">
        <v>0.13900000000000001</v>
      </c>
      <c r="C2" s="11">
        <v>17995.57</v>
      </c>
      <c r="D2" s="11">
        <v>24858.97</v>
      </c>
      <c r="E2" s="11">
        <v>15522.18</v>
      </c>
      <c r="F2">
        <f>C2/SQRT(SUMSQ(C2:E2))</f>
        <v>0.5232625815346087</v>
      </c>
      <c r="G2">
        <f>D2/SQRT(SUMSQ(C2:E2))</f>
        <v>0.72283172005618002</v>
      </c>
      <c r="H2">
        <f>E2/SQRT(SUMSQ(C2:E2))</f>
        <v>0.45134307931590234</v>
      </c>
      <c r="I2">
        <f t="shared" ref="I2:K6" si="0">F2*$B2</f>
        <v>7.2733498833310609E-2</v>
      </c>
      <c r="J2">
        <f t="shared" si="0"/>
        <v>0.10047360908780903</v>
      </c>
      <c r="K2">
        <f t="shared" si="0"/>
        <v>6.2736688024910434E-2</v>
      </c>
    </row>
    <row r="3" spans="1:11">
      <c r="A3" t="s">
        <v>33</v>
      </c>
      <c r="B3">
        <v>9.7000000000000003E-2</v>
      </c>
      <c r="C3">
        <v>2618</v>
      </c>
      <c r="D3">
        <v>3715</v>
      </c>
      <c r="E3">
        <v>2638</v>
      </c>
      <c r="F3">
        <f>C3/SQRT(SUMSQ(C3:E3))</f>
        <v>0.49819970297464888</v>
      </c>
      <c r="G3">
        <f>D3/SQRT(SUMSQ(C3:E3))</f>
        <v>0.70695641579481305</v>
      </c>
      <c r="H3">
        <f>E3/SQRT(SUMSQ(C3:E3))</f>
        <v>0.50200565945268283</v>
      </c>
      <c r="I3">
        <f t="shared" si="0"/>
        <v>4.8325371188540946E-2</v>
      </c>
      <c r="J3">
        <f t="shared" si="0"/>
        <v>6.857477233209687E-2</v>
      </c>
      <c r="K3">
        <f t="shared" si="0"/>
        <v>4.8694548966910237E-2</v>
      </c>
    </row>
    <row r="4" spans="1:11">
      <c r="A4" t="s">
        <v>34</v>
      </c>
      <c r="B4">
        <v>0.26200000000000001</v>
      </c>
      <c r="C4">
        <v>214</v>
      </c>
      <c r="D4">
        <v>264</v>
      </c>
      <c r="E4">
        <v>297</v>
      </c>
      <c r="F4">
        <f>C4/SQRT(SUMSQ(C4:E4))</f>
        <v>0.47415156990506757</v>
      </c>
      <c r="G4">
        <f>D4/SQRT(SUMSQ(C4:E4))</f>
        <v>0.58493464698569075</v>
      </c>
      <c r="H4">
        <f>E4/SQRT(SUMSQ(C4:E4))</f>
        <v>0.65805147785890217</v>
      </c>
      <c r="I4">
        <f t="shared" si="0"/>
        <v>0.12422771131512771</v>
      </c>
      <c r="J4">
        <f t="shared" si="0"/>
        <v>0.15325287751025099</v>
      </c>
      <c r="K4">
        <f t="shared" si="0"/>
        <v>0.17240948719903237</v>
      </c>
    </row>
    <row r="5" spans="1:11">
      <c r="A5" t="s">
        <v>35</v>
      </c>
      <c r="B5">
        <v>8.8999999999999996E-2</v>
      </c>
      <c r="C5">
        <v>70</v>
      </c>
      <c r="D5">
        <v>236</v>
      </c>
      <c r="E5">
        <v>174</v>
      </c>
      <c r="F5">
        <f>C5/SQRT(SUMSQ(C5:E5))</f>
        <v>0.23221111122440252</v>
      </c>
      <c r="G5">
        <f>D5/SQRT(SUMSQ(C5:E5))</f>
        <v>0.78288317498512849</v>
      </c>
      <c r="H5">
        <f>E5/SQRT(SUMSQ(C5:E5))</f>
        <v>0.57721047647208634</v>
      </c>
      <c r="I5">
        <f t="shared" si="0"/>
        <v>2.0666788898971823E-2</v>
      </c>
      <c r="J5">
        <f t="shared" si="0"/>
        <v>6.967660257367643E-2</v>
      </c>
      <c r="K5">
        <f t="shared" si="0"/>
        <v>5.1371732406015683E-2</v>
      </c>
    </row>
    <row r="6" spans="1:11">
      <c r="A6" t="s">
        <v>6</v>
      </c>
      <c r="B6">
        <v>0.41299999999999998</v>
      </c>
      <c r="C6">
        <v>9</v>
      </c>
      <c r="D6">
        <v>8</v>
      </c>
      <c r="E6">
        <v>7</v>
      </c>
      <c r="F6">
        <f>C6/SQRT(SUMSQ(C6:E6))</f>
        <v>0.64616234275596429</v>
      </c>
      <c r="G6">
        <f>D6/SQRT(SUMSQ(C6:E6))</f>
        <v>0.57436652689419054</v>
      </c>
      <c r="H6">
        <f>E6/SQRT(SUMSQ(C6:E6))</f>
        <v>0.50257071103241668</v>
      </c>
      <c r="I6">
        <f t="shared" si="0"/>
        <v>0.26686504755821322</v>
      </c>
      <c r="J6">
        <f t="shared" si="0"/>
        <v>0.23721337560730069</v>
      </c>
      <c r="K6">
        <f t="shared" si="0"/>
        <v>0.20756170365638807</v>
      </c>
    </row>
    <row r="7" spans="1:11" s="1" customFormat="1" ht="12.75">
      <c r="C7" s="1" t="s">
        <v>36</v>
      </c>
      <c r="D7" s="1" t="s">
        <v>37</v>
      </c>
    </row>
    <row r="8" spans="1:11">
      <c r="A8" t="s">
        <v>1</v>
      </c>
      <c r="B8">
        <v>0.13900000000000001</v>
      </c>
      <c r="C8">
        <f>MAX(I2:K2)</f>
        <v>0.10047360908780903</v>
      </c>
      <c r="D8">
        <f>MIN(I2:K2)</f>
        <v>6.2736688024910434E-2</v>
      </c>
    </row>
    <row r="9" spans="1:11">
      <c r="A9" t="s">
        <v>33</v>
      </c>
      <c r="B9">
        <v>9.7000000000000003E-2</v>
      </c>
      <c r="C9">
        <f>MIN(I3:K3)</f>
        <v>4.8325371188540946E-2</v>
      </c>
      <c r="D9">
        <f>MAX(I3:K3)</f>
        <v>6.857477233209687E-2</v>
      </c>
    </row>
    <row r="10" spans="1:11">
      <c r="A10" t="s">
        <v>34</v>
      </c>
      <c r="B10">
        <v>0.26200000000000001</v>
      </c>
      <c r="C10">
        <f>MAX(I4:K4)</f>
        <v>0.17240948719903237</v>
      </c>
      <c r="D10">
        <f>MIN(I4:K4)</f>
        <v>0.12422771131512771</v>
      </c>
    </row>
    <row r="11" spans="1:11">
      <c r="A11" t="s">
        <v>35</v>
      </c>
      <c r="B11">
        <v>8.8999999999999996E-2</v>
      </c>
      <c r="C11">
        <f>MIN(I5:K5)</f>
        <v>2.0666788898971823E-2</v>
      </c>
      <c r="D11">
        <f>MAX(I5:K5)</f>
        <v>6.967660257367643E-2</v>
      </c>
    </row>
    <row r="12" spans="1:11">
      <c r="A12" t="s">
        <v>6</v>
      </c>
      <c r="B12">
        <v>0.41299999999999998</v>
      </c>
      <c r="C12">
        <f>MAX(I6:K6)</f>
        <v>0.26686504755821322</v>
      </c>
      <c r="D12">
        <f>MIN(I6:K6)</f>
        <v>0.20756170365638807</v>
      </c>
    </row>
    <row r="14" spans="1:11" s="1" customFormat="1" ht="12.75">
      <c r="A14" s="1" t="s">
        <v>0</v>
      </c>
      <c r="B14" s="1" t="s">
        <v>38</v>
      </c>
      <c r="C14" s="1" t="s">
        <v>39</v>
      </c>
      <c r="D14" s="1" t="s">
        <v>40</v>
      </c>
      <c r="E14" s="1" t="s">
        <v>41</v>
      </c>
    </row>
    <row r="15" spans="1:11">
      <c r="A15" t="s">
        <v>8</v>
      </c>
      <c r="B15" cm="1">
        <f t="array" ref="B15">SQRT(SUMPRODUCT((I2:I6 - $C$8:$C$12)^2))</f>
        <v>5.5596737712374326E-2</v>
      </c>
      <c r="C15" cm="1">
        <f t="array" ref="C15">SQRT(SUMPRODUCT((I2:I6 - $D$8:$D$12)^2))</f>
        <v>8.0179940804287184E-2</v>
      </c>
      <c r="D15">
        <f>C15/(B15+C15)</f>
        <v>0.59052807654628325</v>
      </c>
      <c r="E15">
        <f>RANK(D15,$D$15:$D$17,0)</f>
        <v>1</v>
      </c>
    </row>
    <row r="16" spans="1:11">
      <c r="A16" t="s">
        <v>10</v>
      </c>
      <c r="B16" cm="1">
        <f t="array" ref="B16">SQRT(SUMPRODUCT((J2:J6 - $C$8:$C$12)^2))</f>
        <v>6.3703982821757335E-2</v>
      </c>
      <c r="C16" cm="1">
        <f t="array" ref="C16">SQRT(SUMPRODUCT((J2:J6 - $D$8:$D$12)^2))</f>
        <v>5.6087049605470465E-2</v>
      </c>
      <c r="D16">
        <f>C16/(B16+C16)</f>
        <v>0.46820741477074213</v>
      </c>
      <c r="E16">
        <f>RANK(D16,$D$15:$D$17,0)</f>
        <v>2</v>
      </c>
    </row>
    <row r="17" spans="1:5">
      <c r="A17" t="s">
        <v>11</v>
      </c>
      <c r="B17" cm="1">
        <f t="array" ref="B17">SQRT(SUMPRODUCT((K2:K6 - $C$8:$C$12)^2))</f>
        <v>7.6706529430344977E-2</v>
      </c>
      <c r="C17" cm="1">
        <f t="array" ref="C17">SQRT(SUMPRODUCT((K2:K6 - $D$8:$D$12)^2))</f>
        <v>5.5242873569641956E-2</v>
      </c>
      <c r="D17">
        <f>C17/(B17+C17)</f>
        <v>0.41866709749075132</v>
      </c>
      <c r="E17">
        <f>RANK(D17,$D$15:$D$17,0)</f>
        <v>3</v>
      </c>
    </row>
  </sheetData>
  <phoneticPr fontId="19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CA6D-872C-4F47-B955-D7DDD18B0CC0}">
  <dimension ref="A1:F15"/>
  <sheetViews>
    <sheetView workbookViewId="0">
      <selection activeCell="I26" sqref="I26"/>
    </sheetView>
  </sheetViews>
  <sheetFormatPr defaultRowHeight="16.5"/>
  <cols>
    <col min="4" max="4" width="14" bestFit="1" customWidth="1"/>
    <col min="5" max="5" width="11" bestFit="1" customWidth="1"/>
    <col min="8" max="8" width="9" customWidth="1"/>
  </cols>
  <sheetData>
    <row r="1" spans="1:6">
      <c r="A1" s="1" t="s">
        <v>111</v>
      </c>
      <c r="B1" s="1" t="s">
        <v>0</v>
      </c>
      <c r="C1" s="2" t="s">
        <v>116</v>
      </c>
      <c r="D1" s="1" t="s">
        <v>112</v>
      </c>
      <c r="E1" s="1" t="s">
        <v>40</v>
      </c>
      <c r="F1" s="1" t="s">
        <v>41</v>
      </c>
    </row>
    <row r="2" spans="1:6">
      <c r="A2" t="s">
        <v>113</v>
      </c>
      <c r="B2" t="s">
        <v>8</v>
      </c>
      <c r="C2">
        <v>2618</v>
      </c>
      <c r="D2">
        <v>20944</v>
      </c>
      <c r="E2">
        <v>0.59</v>
      </c>
      <c r="F2">
        <f>RANK(E2,$E$2:$E$4,0)</f>
        <v>1</v>
      </c>
    </row>
    <row r="3" spans="1:6">
      <c r="A3" t="s">
        <v>113</v>
      </c>
      <c r="B3" t="s">
        <v>10</v>
      </c>
      <c r="C3">
        <v>3715</v>
      </c>
      <c r="D3">
        <v>29720</v>
      </c>
      <c r="E3">
        <v>0.46800000000000003</v>
      </c>
      <c r="F3">
        <f t="shared" ref="F3:F4" si="0">RANK(E3,$E$2:$E$4,0)</f>
        <v>2</v>
      </c>
    </row>
    <row r="4" spans="1:6">
      <c r="A4" t="s">
        <v>113</v>
      </c>
      <c r="B4" t="s">
        <v>11</v>
      </c>
      <c r="C4">
        <v>2638</v>
      </c>
      <c r="D4">
        <v>21104</v>
      </c>
      <c r="E4">
        <v>0.41899999999999998</v>
      </c>
      <c r="F4">
        <f t="shared" si="0"/>
        <v>3</v>
      </c>
    </row>
    <row r="6" spans="1:6">
      <c r="A6" t="s">
        <v>114</v>
      </c>
      <c r="B6" t="s">
        <v>8</v>
      </c>
      <c r="C6">
        <v>2618</v>
      </c>
      <c r="D6">
        <v>26180</v>
      </c>
      <c r="E6">
        <v>0.59099999999999997</v>
      </c>
      <c r="F6">
        <f>RANK(E6,$E$6:$E$8,0)</f>
        <v>1</v>
      </c>
    </row>
    <row r="7" spans="1:6">
      <c r="A7" t="s">
        <v>114</v>
      </c>
      <c r="B7" t="s">
        <v>10</v>
      </c>
      <c r="C7">
        <v>3715</v>
      </c>
      <c r="D7">
        <v>37150</v>
      </c>
      <c r="E7">
        <v>0.46500000000000002</v>
      </c>
      <c r="F7">
        <f t="shared" ref="F7:F8" si="1">RANK(E7,$E$6:$E$8,0)</f>
        <v>2</v>
      </c>
    </row>
    <row r="8" spans="1:6">
      <c r="A8" t="s">
        <v>114</v>
      </c>
      <c r="B8" t="s">
        <v>11</v>
      </c>
      <c r="C8">
        <v>2638</v>
      </c>
      <c r="D8">
        <v>26380</v>
      </c>
      <c r="E8">
        <v>0.41799999999999998</v>
      </c>
      <c r="F8">
        <f t="shared" si="1"/>
        <v>3</v>
      </c>
    </row>
    <row r="10" spans="1:6">
      <c r="A10" t="s">
        <v>115</v>
      </c>
      <c r="B10" t="s">
        <v>8</v>
      </c>
      <c r="C10">
        <v>2618</v>
      </c>
      <c r="D10">
        <v>31416</v>
      </c>
      <c r="E10">
        <v>0.59199999999999997</v>
      </c>
      <c r="F10">
        <f>RANK(E10,$E$10:$E$12,0)</f>
        <v>1</v>
      </c>
    </row>
    <row r="11" spans="1:6">
      <c r="A11" t="s">
        <v>115</v>
      </c>
      <c r="B11" t="s">
        <v>10</v>
      </c>
      <c r="C11">
        <v>3715</v>
      </c>
      <c r="D11">
        <v>44580</v>
      </c>
      <c r="E11">
        <v>0.46600000000000003</v>
      </c>
      <c r="F11">
        <f t="shared" ref="F11:F12" si="2">RANK(E11,$E$10:$E$12,0)</f>
        <v>2</v>
      </c>
    </row>
    <row r="12" spans="1:6">
      <c r="A12" t="s">
        <v>115</v>
      </c>
      <c r="B12" t="s">
        <v>11</v>
      </c>
      <c r="C12">
        <v>2638</v>
      </c>
      <c r="D12">
        <v>31656</v>
      </c>
      <c r="E12">
        <v>0.41699999999999998</v>
      </c>
      <c r="F12">
        <f t="shared" si="2"/>
        <v>3</v>
      </c>
    </row>
    <row r="15" spans="1:6">
      <c r="A15" t="s">
        <v>117</v>
      </c>
    </row>
  </sheetData>
  <phoneticPr fontId="1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4927A-32EE-4C2E-AB94-90272F1E17A7}">
  <dimension ref="A1:K23"/>
  <sheetViews>
    <sheetView workbookViewId="0">
      <selection activeCell="E20" sqref="E20"/>
    </sheetView>
  </sheetViews>
  <sheetFormatPr defaultRowHeight="16.5"/>
  <cols>
    <col min="1" max="1" width="11.625" bestFit="1" customWidth="1"/>
    <col min="2" max="2" width="11" customWidth="1"/>
    <col min="3" max="3" width="14.25" customWidth="1"/>
    <col min="4" max="4" width="12.75" bestFit="1" customWidth="1"/>
    <col min="6" max="6" width="12.75" bestFit="1" customWidth="1"/>
    <col min="11" max="11" width="9.5" bestFit="1" customWidth="1"/>
  </cols>
  <sheetData>
    <row r="1" spans="1:11" s="1" customFormat="1" ht="12.7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</row>
    <row r="2" spans="1:11">
      <c r="A2" t="s">
        <v>1</v>
      </c>
      <c r="B2">
        <v>0.13900000000000001</v>
      </c>
      <c r="C2" s="11">
        <v>17995.57</v>
      </c>
      <c r="D2" s="11">
        <v>24858.97</v>
      </c>
      <c r="E2" s="11">
        <v>15522.18</v>
      </c>
      <c r="F2">
        <f>C2/SQRT(SUMSQ(C2:E2))</f>
        <v>0.5232625815346087</v>
      </c>
      <c r="G2">
        <f>D2/SQRT(SUMSQ(C2:E2))</f>
        <v>0.72283172005618002</v>
      </c>
      <c r="H2">
        <f>E2/SQRT(SUMSQ(C2:E2))</f>
        <v>0.45134307931590234</v>
      </c>
      <c r="I2">
        <f t="shared" ref="I2:K6" si="0">F2*$B2</f>
        <v>7.2733498833310609E-2</v>
      </c>
      <c r="J2">
        <f t="shared" si="0"/>
        <v>0.10047360908780903</v>
      </c>
      <c r="K2">
        <f t="shared" si="0"/>
        <v>6.2736688024910434E-2</v>
      </c>
    </row>
    <row r="3" spans="1:11">
      <c r="A3" t="s">
        <v>118</v>
      </c>
      <c r="B3">
        <v>9.7000000000000003E-2</v>
      </c>
      <c r="C3">
        <v>20944</v>
      </c>
      <c r="D3">
        <v>29720</v>
      </c>
      <c r="E3">
        <v>21104</v>
      </c>
      <c r="F3">
        <f>C3/SQRT(SUMSQ(C3:E3))</f>
        <v>0.49819970297464888</v>
      </c>
      <c r="G3">
        <f>D3/SQRT(SUMSQ(C3:E3))</f>
        <v>0.70695641579481305</v>
      </c>
      <c r="H3">
        <f>E3/SQRT(SUMSQ(C3:E3))</f>
        <v>0.50200565945268283</v>
      </c>
      <c r="I3">
        <f t="shared" si="0"/>
        <v>4.8325371188540946E-2</v>
      </c>
      <c r="J3">
        <f t="shared" si="0"/>
        <v>6.857477233209687E-2</v>
      </c>
      <c r="K3">
        <f t="shared" si="0"/>
        <v>4.8694548966910237E-2</v>
      </c>
    </row>
    <row r="4" spans="1:11">
      <c r="A4" t="s">
        <v>34</v>
      </c>
      <c r="B4">
        <v>0.26200000000000001</v>
      </c>
      <c r="C4">
        <v>214</v>
      </c>
      <c r="D4">
        <v>264</v>
      </c>
      <c r="E4">
        <v>297</v>
      </c>
      <c r="F4">
        <f>C4/SQRT(SUMSQ(C4:E4))</f>
        <v>0.47415156990506757</v>
      </c>
      <c r="G4">
        <f>D4/SQRT(SUMSQ(C4:E4))</f>
        <v>0.58493464698569075</v>
      </c>
      <c r="H4">
        <f>E4/SQRT(SUMSQ(C4:E4))</f>
        <v>0.65805147785890217</v>
      </c>
      <c r="I4">
        <f t="shared" si="0"/>
        <v>0.12422771131512771</v>
      </c>
      <c r="J4">
        <f t="shared" si="0"/>
        <v>0.15325287751025099</v>
      </c>
      <c r="K4">
        <f t="shared" si="0"/>
        <v>0.17240948719903237</v>
      </c>
    </row>
    <row r="5" spans="1:11">
      <c r="A5" t="s">
        <v>35</v>
      </c>
      <c r="B5">
        <v>8.8999999999999996E-2</v>
      </c>
      <c r="C5">
        <v>70</v>
      </c>
      <c r="D5">
        <v>236</v>
      </c>
      <c r="E5">
        <v>174</v>
      </c>
      <c r="F5">
        <f>C5/SQRT(SUMSQ(C5:E5))</f>
        <v>0.23221111122440252</v>
      </c>
      <c r="G5">
        <f>D5/SQRT(SUMSQ(C5:E5))</f>
        <v>0.78288317498512849</v>
      </c>
      <c r="H5">
        <f>E5/SQRT(SUMSQ(C5:E5))</f>
        <v>0.57721047647208634</v>
      </c>
      <c r="I5">
        <f t="shared" si="0"/>
        <v>2.0666788898971823E-2</v>
      </c>
      <c r="J5">
        <f t="shared" si="0"/>
        <v>6.967660257367643E-2</v>
      </c>
      <c r="K5">
        <f t="shared" si="0"/>
        <v>5.1371732406015683E-2</v>
      </c>
    </row>
    <row r="6" spans="1:11">
      <c r="A6" t="s">
        <v>6</v>
      </c>
      <c r="B6">
        <v>0.41299999999999998</v>
      </c>
      <c r="C6">
        <v>9</v>
      </c>
      <c r="D6">
        <v>8</v>
      </c>
      <c r="E6">
        <v>7</v>
      </c>
      <c r="F6">
        <f>C6/SQRT(SUMSQ(C6:E6))</f>
        <v>0.64616234275596429</v>
      </c>
      <c r="G6">
        <f>D6/SQRT(SUMSQ(C6:E6))</f>
        <v>0.57436652689419054</v>
      </c>
      <c r="H6">
        <f>E6/SQRT(SUMSQ(C6:E6))</f>
        <v>0.50257071103241668</v>
      </c>
      <c r="I6">
        <f t="shared" si="0"/>
        <v>0.26686504755821322</v>
      </c>
      <c r="J6">
        <f t="shared" si="0"/>
        <v>0.23721337560730069</v>
      </c>
      <c r="K6">
        <f t="shared" si="0"/>
        <v>0.20756170365638807</v>
      </c>
    </row>
    <row r="7" spans="1:11" s="1" customFormat="1" ht="12.75">
      <c r="C7" s="1" t="s">
        <v>36</v>
      </c>
      <c r="D7" s="1" t="s">
        <v>37</v>
      </c>
    </row>
    <row r="8" spans="1:11">
      <c r="A8" t="s">
        <v>1</v>
      </c>
      <c r="B8">
        <v>0.13900000000000001</v>
      </c>
      <c r="C8">
        <f>MAX(I2:K2)</f>
        <v>0.10047360908780903</v>
      </c>
      <c r="D8">
        <f>MIN(I2:K2)</f>
        <v>6.2736688024910434E-2</v>
      </c>
    </row>
    <row r="9" spans="1:11">
      <c r="A9" t="s">
        <v>33</v>
      </c>
      <c r="B9">
        <v>9.7000000000000003E-2</v>
      </c>
      <c r="C9">
        <f>MIN(I3:K3)</f>
        <v>4.8325371188540946E-2</v>
      </c>
      <c r="D9">
        <f>MAX(I3:K3)</f>
        <v>6.857477233209687E-2</v>
      </c>
    </row>
    <row r="10" spans="1:11">
      <c r="A10" t="s">
        <v>34</v>
      </c>
      <c r="B10">
        <v>0.26200000000000001</v>
      </c>
      <c r="C10">
        <f>MAX(I4:K4)</f>
        <v>0.17240948719903237</v>
      </c>
      <c r="D10">
        <f>MIN(I4:K4)</f>
        <v>0.12422771131512771</v>
      </c>
    </row>
    <row r="11" spans="1:11">
      <c r="A11" t="s">
        <v>35</v>
      </c>
      <c r="B11">
        <v>8.8999999999999996E-2</v>
      </c>
      <c r="C11">
        <f>MIN(I5:K5)</f>
        <v>2.0666788898971823E-2</v>
      </c>
      <c r="D11">
        <f>MAX(I5:K5)</f>
        <v>6.967660257367643E-2</v>
      </c>
    </row>
    <row r="12" spans="1:11">
      <c r="A12" t="s">
        <v>6</v>
      </c>
      <c r="B12">
        <v>0.41299999999999998</v>
      </c>
      <c r="C12">
        <f>MAX(I6:K6)</f>
        <v>0.26686504755821322</v>
      </c>
      <c r="D12">
        <f>MIN(I6:K6)</f>
        <v>0.20756170365638807</v>
      </c>
    </row>
    <row r="14" spans="1:11" s="1" customFormat="1" ht="12.75">
      <c r="A14" s="1" t="s">
        <v>0</v>
      </c>
      <c r="B14" s="1" t="s">
        <v>38</v>
      </c>
      <c r="C14" s="1" t="s">
        <v>39</v>
      </c>
      <c r="D14" s="1" t="s">
        <v>40</v>
      </c>
      <c r="E14" s="1" t="s">
        <v>41</v>
      </c>
    </row>
    <row r="15" spans="1:11">
      <c r="A15" t="s">
        <v>8</v>
      </c>
      <c r="B15" cm="1">
        <f t="array" ref="B15">SQRT(SUMPRODUCT((I2:I6 - $C$8:$C$12)^2))</f>
        <v>5.5596737712374326E-2</v>
      </c>
      <c r="C15" cm="1">
        <f t="array" ref="C15">SQRT(SUMPRODUCT((I2:I6 - $D$8:$D$12)^2))</f>
        <v>8.0179940804287184E-2</v>
      </c>
      <c r="D15">
        <f>C15/(B15+C15)</f>
        <v>0.59052807654628325</v>
      </c>
      <c r="E15">
        <f>RANK(D15,$D$15:$D$17,0)</f>
        <v>1</v>
      </c>
    </row>
    <row r="16" spans="1:11">
      <c r="A16" t="s">
        <v>10</v>
      </c>
      <c r="B16" cm="1">
        <f t="array" ref="B16">SQRT(SUMPRODUCT((J2:J6 - $C$8:$C$12)^2))</f>
        <v>6.3703982821757335E-2</v>
      </c>
      <c r="C16" cm="1">
        <f t="array" ref="C16">SQRT(SUMPRODUCT((J2:J6 - $D$8:$D$12)^2))</f>
        <v>5.6087049605470465E-2</v>
      </c>
      <c r="D16">
        <f>C16/(B16+C16)</f>
        <v>0.46820741477074213</v>
      </c>
      <c r="E16">
        <f>RANK(D16,$D$15:$D$17,0)</f>
        <v>2</v>
      </c>
    </row>
    <row r="17" spans="1:5">
      <c r="A17" t="s">
        <v>11</v>
      </c>
      <c r="B17" cm="1">
        <f t="array" ref="B17">SQRT(SUMPRODUCT((K2:K6 - $C$8:$C$12)^2))</f>
        <v>7.6706529430344977E-2</v>
      </c>
      <c r="C17" cm="1">
        <f t="array" ref="C17">SQRT(SUMPRODUCT((K2:K6 - $D$8:$D$12)^2))</f>
        <v>5.5242873569641956E-2</v>
      </c>
      <c r="D17">
        <f>C17/(B17+C17)</f>
        <v>0.41866709749075132</v>
      </c>
      <c r="E17">
        <f>RANK(D17,$D$15:$D$17,0)</f>
        <v>3</v>
      </c>
    </row>
    <row r="20" spans="1:5">
      <c r="A20" t="s">
        <v>113</v>
      </c>
    </row>
    <row r="21" spans="1:5">
      <c r="A21" t="s">
        <v>8</v>
      </c>
      <c r="B21">
        <v>20944</v>
      </c>
    </row>
    <row r="22" spans="1:5">
      <c r="A22" t="s">
        <v>10</v>
      </c>
      <c r="B22">
        <v>29720</v>
      </c>
    </row>
    <row r="23" spans="1:5">
      <c r="A23" t="s">
        <v>11</v>
      </c>
      <c r="B23">
        <v>21104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Data</vt:lpstr>
      <vt:lpstr>人口統計表</vt:lpstr>
      <vt:lpstr>商圈成熟度評分</vt:lpstr>
      <vt:lpstr>AHP</vt:lpstr>
      <vt:lpstr>工作表1</vt:lpstr>
      <vt:lpstr>TOPSIS</vt:lpstr>
      <vt:lpstr>TEST</vt:lpstr>
      <vt:lpstr>敏感度</vt:lpstr>
      <vt:lpstr>敏感度8評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梁凱晰</dc:creator>
  <cp:lastModifiedBy>凱晰 梁</cp:lastModifiedBy>
  <dcterms:created xsi:type="dcterms:W3CDTF">2025-11-24T09:35:27Z</dcterms:created>
  <dcterms:modified xsi:type="dcterms:W3CDTF">2025-12-04T16:19:18Z</dcterms:modified>
</cp:coreProperties>
</file>